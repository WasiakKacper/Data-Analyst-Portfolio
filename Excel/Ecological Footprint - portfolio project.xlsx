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  <sheet state="visible" name="countries_worksheet" sheetId="2" r:id="rId6"/>
    <sheet state="visible" name="countries_cleaned" sheetId="3" r:id="rId7"/>
    <sheet state="visible" name="pivot_tables" sheetId="4" r:id="rId8"/>
    <sheet state="visible" name="Dashboard" sheetId="5" r:id="rId9"/>
  </sheets>
  <definedNames>
    <definedName hidden="1" localSheetId="2" name="_xlnm._FilterDatabase">countries_cleaned!$E$1:$E$1000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<sst xmlns="http://schemas.openxmlformats.org/spreadsheetml/2006/main" count="7210" uniqueCount="1004">
  <si>
    <t>Country</t>
  </si>
  <si>
    <t>Region</t>
  </si>
  <si>
    <t>Population (millions)</t>
  </si>
  <si>
    <t>Population (millions) - fixed</t>
  </si>
  <si>
    <t>HDI</t>
  </si>
  <si>
    <t>GDP per Capita</t>
  </si>
  <si>
    <t>Cropland Footprint</t>
  </si>
  <si>
    <t>Grazing Footprint</t>
  </si>
  <si>
    <t>HDI - fixed (as number)</t>
  </si>
  <si>
    <t>Forest Footprint</t>
  </si>
  <si>
    <t>Development Tier</t>
  </si>
  <si>
    <t>Carbon Footprint</t>
  </si>
  <si>
    <t>Fish Footprint</t>
  </si>
  <si>
    <t>GDP per Capita - fixed</t>
  </si>
  <si>
    <t>Total Ecological Footprint</t>
  </si>
  <si>
    <t>Cropland</t>
  </si>
  <si>
    <t>Grazing Land</t>
  </si>
  <si>
    <t>Cropland Footprint - fixed</t>
  </si>
  <si>
    <t>Forest Land</t>
  </si>
  <si>
    <t>Grazing Footprint - fixed</t>
  </si>
  <si>
    <t>Fishing Water</t>
  </si>
  <si>
    <t>Urban Land</t>
  </si>
  <si>
    <t>Forest Footprint - fixed</t>
  </si>
  <si>
    <t>Total Biocapacity</t>
  </si>
  <si>
    <t>Biocapacity Deficit or Reserve</t>
  </si>
  <si>
    <t>Carbon Footprint - fixed</t>
  </si>
  <si>
    <t>Fish Footprint - fixed</t>
  </si>
  <si>
    <t>Earths Required</t>
  </si>
  <si>
    <t>HDI (as number)</t>
  </si>
  <si>
    <t>Countries Required</t>
  </si>
  <si>
    <t>Total Ecological Footprint - fixed</t>
  </si>
  <si>
    <t>Data Quality</t>
  </si>
  <si>
    <t>Afghanistan</t>
  </si>
  <si>
    <t>Middle East/Central Asia</t>
  </si>
  <si>
    <t>Cropland - fixed</t>
  </si>
  <si>
    <t>29.82</t>
  </si>
  <si>
    <t>0.46</t>
  </si>
  <si>
    <t>$614.66</t>
  </si>
  <si>
    <t>0.3</t>
  </si>
  <si>
    <t>Grazing Land - fixed</t>
  </si>
  <si>
    <t>0.2</t>
  </si>
  <si>
    <t>0.08</t>
  </si>
  <si>
    <t>0.18</t>
  </si>
  <si>
    <t>Forest Land - fixed</t>
  </si>
  <si>
    <t>0.79</t>
  </si>
  <si>
    <t>0.24</t>
  </si>
  <si>
    <t>Fishing Water - fixed</t>
  </si>
  <si>
    <t>Urban Land - fixed</t>
  </si>
  <si>
    <t>0.02</t>
  </si>
  <si>
    <t>0.04</t>
  </si>
  <si>
    <t>Total Biocapacity - fixed</t>
  </si>
  <si>
    <t>0.5</t>
  </si>
  <si>
    <t>-0.3</t>
  </si>
  <si>
    <t>Biocapacity Deficit or Reserve - fixed</t>
  </si>
  <si>
    <t>Earths Required - fixed</t>
  </si>
  <si>
    <t>Low</t>
  </si>
  <si>
    <t>Countries Required - fixed</t>
  </si>
  <si>
    <t>Albania</t>
  </si>
  <si>
    <t>Northern/Eastern Europe</t>
  </si>
  <si>
    <t>0.73</t>
  </si>
  <si>
    <t>$4,534.37</t>
  </si>
  <si>
    <t>0.78</t>
  </si>
  <si>
    <t>0.22</t>
  </si>
  <si>
    <t>0.25</t>
  </si>
  <si>
    <t>0.87</t>
  </si>
  <si>
    <t>0.55</t>
  </si>
  <si>
    <t>0.21</t>
  </si>
  <si>
    <t>0.29</t>
  </si>
  <si>
    <t>0.07</t>
  </si>
  <si>
    <t>0.06</t>
  </si>
  <si>
    <t>-1.03</t>
  </si>
  <si>
    <t>1.87</t>
  </si>
  <si>
    <t>Algeria</t>
  </si>
  <si>
    <t>Africa</t>
  </si>
  <si>
    <t>38.48</t>
  </si>
  <si>
    <t>$5,430.57</t>
  </si>
  <si>
    <t>High</t>
  </si>
  <si>
    <t>0.6</t>
  </si>
  <si>
    <t>0.16</t>
  </si>
  <si>
    <t>0.17</t>
  </si>
  <si>
    <t>0.01</t>
  </si>
  <si>
    <t>0.27</t>
  </si>
  <si>
    <t>0.03</t>
  </si>
  <si>
    <t>0.59</t>
  </si>
  <si>
    <t>-1.53</t>
  </si>
  <si>
    <t>3.61</t>
  </si>
  <si>
    <t>Angola</t>
  </si>
  <si>
    <t>20.82</t>
  </si>
  <si>
    <t>0.52</t>
  </si>
  <si>
    <t>$4,665.91</t>
  </si>
  <si>
    <t>0.33</t>
  </si>
  <si>
    <t>0.15</t>
  </si>
  <si>
    <t>0.12</t>
  </si>
  <si>
    <t>0.09</t>
  </si>
  <si>
    <t>0.93</t>
  </si>
  <si>
    <t>1.42</t>
  </si>
  <si>
    <t>0.64</t>
  </si>
  <si>
    <t>0.26</t>
  </si>
  <si>
    <t>2.55</t>
  </si>
  <si>
    <t>1.61</t>
  </si>
  <si>
    <t>0.54</t>
  </si>
  <si>
    <t>0.37</t>
  </si>
  <si>
    <t>Antigua and Barbuda</t>
  </si>
  <si>
    <t>Latin America</t>
  </si>
  <si>
    <t>$13,205.10</t>
  </si>
  <si>
    <t>5.38</t>
  </si>
  <si>
    <t/>
  </si>
  <si>
    <t>0.94</t>
  </si>
  <si>
    <t>-4.44</t>
  </si>
  <si>
    <t>Argentina</t>
  </si>
  <si>
    <t>41.09</t>
  </si>
  <si>
    <t>0.83</t>
  </si>
  <si>
    <t>$13,540.00</t>
  </si>
  <si>
    <t>Very High</t>
  </si>
  <si>
    <t>0.1</t>
  </si>
  <si>
    <t>Armenia</t>
  </si>
  <si>
    <t>2.64</t>
  </si>
  <si>
    <t>1.86</t>
  </si>
  <si>
    <t>0.66</t>
  </si>
  <si>
    <t>1.67</t>
  </si>
  <si>
    <t>6.92</t>
  </si>
  <si>
    <t>3.78</t>
  </si>
  <si>
    <t>1.82</t>
  </si>
  <si>
    <t>0.45</t>
  </si>
  <si>
    <t>3B</t>
  </si>
  <si>
    <t>2.97</t>
  </si>
  <si>
    <t>Aruba</t>
  </si>
  <si>
    <t>$3,426.39</t>
  </si>
  <si>
    <t>0.74</t>
  </si>
  <si>
    <t>Unknown</t>
  </si>
  <si>
    <t>0.34</t>
  </si>
  <si>
    <t>0.89</t>
  </si>
  <si>
    <t>0.44</t>
  </si>
  <si>
    <t>Australia</t>
  </si>
  <si>
    <t>Asia-Pacific</t>
  </si>
  <si>
    <t>-1.35</t>
  </si>
  <si>
    <t>2.52</t>
  </si>
  <si>
    <t>11.88</t>
  </si>
  <si>
    <t>0.57</t>
  </si>
  <si>
    <t>-11.31</t>
  </si>
  <si>
    <t>6.86</t>
  </si>
  <si>
    <t>20.69</t>
  </si>
  <si>
    <t>Austria</t>
  </si>
  <si>
    <t>European Union</t>
  </si>
  <si>
    <t>23.05</t>
  </si>
  <si>
    <t>$66,604.20</t>
  </si>
  <si>
    <t>2.68</t>
  </si>
  <si>
    <t>0.63</t>
  </si>
  <si>
    <t>4.85</t>
  </si>
  <si>
    <t>0.11</t>
  </si>
  <si>
    <t>9.31</t>
  </si>
  <si>
    <t>5.42</t>
  </si>
  <si>
    <t>5.81</t>
  </si>
  <si>
    <t>Azerbaijan</t>
  </si>
  <si>
    <t>0.14</t>
  </si>
  <si>
    <t>16.57</t>
  </si>
  <si>
    <t>5.37</t>
  </si>
  <si>
    <t>0.56</t>
  </si>
  <si>
    <t>8.46</t>
  </si>
  <si>
    <t>0.88</t>
  </si>
  <si>
    <t>$51,274.10</t>
  </si>
  <si>
    <t>Bahamas</t>
  </si>
  <si>
    <t>0.82</t>
  </si>
  <si>
    <t>0.71</t>
  </si>
  <si>
    <t>3L</t>
  </si>
  <si>
    <t>Bahrain</t>
  </si>
  <si>
    <t>1.98</t>
  </si>
  <si>
    <t>0.75</t>
  </si>
  <si>
    <t>$7,106.04</t>
  </si>
  <si>
    <t>2.31</t>
  </si>
  <si>
    <t>0.85</t>
  </si>
  <si>
    <t>-1.46</t>
  </si>
  <si>
    <t>1.33</t>
  </si>
  <si>
    <t>Bangladesh</t>
  </si>
  <si>
    <t>2.72</t>
  </si>
  <si>
    <t>Medium</t>
  </si>
  <si>
    <t>$22,647.30</t>
  </si>
  <si>
    <t>0.97</t>
  </si>
  <si>
    <t>0.19</t>
  </si>
  <si>
    <t>4.46</t>
  </si>
  <si>
    <t>6.84</t>
  </si>
  <si>
    <t>0.05</t>
  </si>
  <si>
    <t>Barbados</t>
  </si>
  <si>
    <t>9.55</t>
  </si>
  <si>
    <t>2.71</t>
  </si>
  <si>
    <t>3.95</t>
  </si>
  <si>
    <t>0.72</t>
  </si>
  <si>
    <t>1.32</t>
  </si>
  <si>
    <t>$24,299.00</t>
  </si>
  <si>
    <t>Belarus</t>
  </si>
  <si>
    <t>7.49</t>
  </si>
  <si>
    <t>0.58</t>
  </si>
  <si>
    <t>-6.91</t>
  </si>
  <si>
    <t>4.33</t>
  </si>
  <si>
    <t>Belgium</t>
  </si>
  <si>
    <t>12.96</t>
  </si>
  <si>
    <t>154.7</t>
  </si>
  <si>
    <t>$857.50</t>
  </si>
  <si>
    <t>Benin</t>
  </si>
  <si>
    <t>0.38</t>
  </si>
  <si>
    <t>-0.35</t>
  </si>
  <si>
    <t>0.42</t>
  </si>
  <si>
    <t>1.92</t>
  </si>
  <si>
    <t>0.28</t>
  </si>
  <si>
    <t>Bermuda</t>
  </si>
  <si>
    <t>North America</t>
  </si>
  <si>
    <t>$15,722.80</t>
  </si>
  <si>
    <t>4.48</t>
  </si>
  <si>
    <t>-4.29</t>
  </si>
  <si>
    <t>2.58</t>
  </si>
  <si>
    <t>3T</t>
  </si>
  <si>
    <t>23.79</t>
  </si>
  <si>
    <t>Bhutan</t>
  </si>
  <si>
    <t>0.8</t>
  </si>
  <si>
    <t>$6,300.45</t>
  </si>
  <si>
    <t>0.91</t>
  </si>
  <si>
    <t>2.57</t>
  </si>
  <si>
    <t>1.52</t>
  </si>
  <si>
    <t>1.71</t>
  </si>
  <si>
    <t>Bolivia</t>
  </si>
  <si>
    <t>3.64</t>
  </si>
  <si>
    <t>-1.45</t>
  </si>
  <si>
    <t>2.94</t>
  </si>
  <si>
    <t>$48,053.30</t>
  </si>
  <si>
    <t>0.48</t>
  </si>
  <si>
    <t>0.99</t>
  </si>
  <si>
    <t>4.43</t>
  </si>
  <si>
    <t>Bosnia and Herzegovina</t>
  </si>
  <si>
    <t>7.44</t>
  </si>
  <si>
    <t>-6.25</t>
  </si>
  <si>
    <t>$746.83</t>
  </si>
  <si>
    <t>0.49</t>
  </si>
  <si>
    <t>Botswana</t>
  </si>
  <si>
    <t>0.51</t>
  </si>
  <si>
    <t>1.41</t>
  </si>
  <si>
    <t>-0.53</t>
  </si>
  <si>
    <t>0.81</t>
  </si>
  <si>
    <t>Brazil</t>
  </si>
  <si>
    <t>$70,626.30</t>
  </si>
  <si>
    <t>5.77</t>
  </si>
  <si>
    <t>0.13</t>
  </si>
  <si>
    <t>-5.64</t>
  </si>
  <si>
    <t>3.33</t>
  </si>
  <si>
    <t>44.05</t>
  </si>
  <si>
    <t>British Virgin Islands</t>
  </si>
  <si>
    <t>$2,395.00</t>
  </si>
  <si>
    <t>4.84</t>
  </si>
  <si>
    <t>4.38</t>
  </si>
  <si>
    <t>0.43</t>
  </si>
  <si>
    <t>0.92</t>
  </si>
  <si>
    <t>0.65</t>
  </si>
  <si>
    <t>$2,253.09</t>
  </si>
  <si>
    <t>1.69</t>
  </si>
  <si>
    <t>Brunei Darussalam</t>
  </si>
  <si>
    <t>0.67</t>
  </si>
  <si>
    <t>2.96</t>
  </si>
  <si>
    <t>13.86</t>
  </si>
  <si>
    <t>16.73</t>
  </si>
  <si>
    <t>13.77</t>
  </si>
  <si>
    <t>Bulgaria</t>
  </si>
  <si>
    <t>3.83</t>
  </si>
  <si>
    <t>$4,708.85</t>
  </si>
  <si>
    <t>1.74</t>
  </si>
  <si>
    <t>1.63</t>
  </si>
  <si>
    <t>Burkina Faso</t>
  </si>
  <si>
    <t>-1.49</t>
  </si>
  <si>
    <t>1.91</t>
  </si>
  <si>
    <t>0.69</t>
  </si>
  <si>
    <t>$7,743.50</t>
  </si>
  <si>
    <t>2.36</t>
  </si>
  <si>
    <t>Burundi</t>
  </si>
  <si>
    <t>2.49</t>
  </si>
  <si>
    <t>3.47</t>
  </si>
  <si>
    <t>198.66</t>
  </si>
  <si>
    <t>$13,237.60</t>
  </si>
  <si>
    <t>0.62</t>
  </si>
  <si>
    <t>Cabo Verde</t>
  </si>
  <si>
    <t>6.82</t>
  </si>
  <si>
    <t>5.97</t>
  </si>
  <si>
    <t>Cambodia</t>
  </si>
  <si>
    <t>2.86</t>
  </si>
  <si>
    <t>-0.81</t>
  </si>
  <si>
    <t>1.65</t>
  </si>
  <si>
    <t>0.41</t>
  </si>
  <si>
    <t>$47,097.40</t>
  </si>
  <si>
    <t>0.31</t>
  </si>
  <si>
    <t>Cameroon</t>
  </si>
  <si>
    <t>1.57</t>
  </si>
  <si>
    <t>2.87</t>
  </si>
  <si>
    <t>-1.19</t>
  </si>
  <si>
    <t>2.34</t>
  </si>
  <si>
    <t>Canada</t>
  </si>
  <si>
    <t>$7,615.28</t>
  </si>
  <si>
    <t>0.35</t>
  </si>
  <si>
    <t>3.32</t>
  </si>
  <si>
    <t>Cayman Islands</t>
  </si>
  <si>
    <t>-0.46</t>
  </si>
  <si>
    <t>16.46</t>
  </si>
  <si>
    <t>0.39</t>
  </si>
  <si>
    <t>$671.07</t>
  </si>
  <si>
    <t>0.47</t>
  </si>
  <si>
    <t>Central African Republic</t>
  </si>
  <si>
    <t>0.36</t>
  </si>
  <si>
    <t>0.98</t>
  </si>
  <si>
    <t>-0.22</t>
  </si>
  <si>
    <t>0.7</t>
  </si>
  <si>
    <t>Chad</t>
  </si>
  <si>
    <t>9.85</t>
  </si>
  <si>
    <t>$276.69</t>
  </si>
  <si>
    <t>Chile</t>
  </si>
  <si>
    <t>0.32</t>
  </si>
  <si>
    <t>-0.48</t>
  </si>
  <si>
    <t>2.48</t>
  </si>
  <si>
    <t>China</t>
  </si>
  <si>
    <t>$3,801.45</t>
  </si>
  <si>
    <t>Colombia</t>
  </si>
  <si>
    <t>-1.9</t>
  </si>
  <si>
    <t>1.46</t>
  </si>
  <si>
    <t>14.86</t>
  </si>
  <si>
    <t>$877.64</t>
  </si>
  <si>
    <t>-0.11</t>
  </si>
  <si>
    <t>21.7</t>
  </si>
  <si>
    <t>Comoros</t>
  </si>
  <si>
    <t>$1,271.21</t>
  </si>
  <si>
    <t>0.68</t>
  </si>
  <si>
    <t>34.84</t>
  </si>
  <si>
    <t>$52,145.40</t>
  </si>
  <si>
    <t>Congo</t>
  </si>
  <si>
    <t>3.41</t>
  </si>
  <si>
    <t>16.01</t>
  </si>
  <si>
    <t>7.83</t>
  </si>
  <si>
    <t>4.72</t>
  </si>
  <si>
    <t>3.56</t>
  </si>
  <si>
    <t>5.65</t>
  </si>
  <si>
    <t>-5.33</t>
  </si>
  <si>
    <t>17.91</t>
  </si>
  <si>
    <t>Congo, Democratic Republic of</t>
  </si>
  <si>
    <t>4.53</t>
  </si>
  <si>
    <t>$495.04</t>
  </si>
  <si>
    <t>6.98</t>
  </si>
  <si>
    <t>7.87</t>
  </si>
  <si>
    <t>6.62</t>
  </si>
  <si>
    <t>12.45</t>
  </si>
  <si>
    <t>$1,161.22</t>
  </si>
  <si>
    <t>0.84</t>
  </si>
  <si>
    <t>17.46</t>
  </si>
  <si>
    <t>Costa Rica</t>
  </si>
  <si>
    <t>$14,525.80</t>
  </si>
  <si>
    <t>0.61</t>
  </si>
  <si>
    <t>4.36</t>
  </si>
  <si>
    <t>3.63</t>
  </si>
  <si>
    <t>-0.73</t>
  </si>
  <si>
    <t>1408.04</t>
  </si>
  <si>
    <t>Côte d'Ivoire</t>
  </si>
  <si>
    <t>$5,560.94</t>
  </si>
  <si>
    <t>2.32</t>
  </si>
  <si>
    <t>3.38</t>
  </si>
  <si>
    <t>-2.44</t>
  </si>
  <si>
    <t>1.95</t>
  </si>
  <si>
    <t>3.59</t>
  </si>
  <si>
    <t>47.7</t>
  </si>
  <si>
    <t>$7,305.22</t>
  </si>
  <si>
    <t>Croatia</t>
  </si>
  <si>
    <t>1.72</t>
  </si>
  <si>
    <t>$860.24</t>
  </si>
  <si>
    <t>0.23</t>
  </si>
  <si>
    <t>Cuba</t>
  </si>
  <si>
    <t>-0.7</t>
  </si>
  <si>
    <t>4.34</t>
  </si>
  <si>
    <t>$1,943.69</t>
  </si>
  <si>
    <t>7.33</t>
  </si>
  <si>
    <t>10.91</t>
  </si>
  <si>
    <t>9.63</t>
  </si>
  <si>
    <t>65.7</t>
  </si>
  <si>
    <t>$338.63</t>
  </si>
  <si>
    <t>Cyprus</t>
  </si>
  <si>
    <t>0.76</t>
  </si>
  <si>
    <t>$8,979.96</t>
  </si>
  <si>
    <t>0.4</t>
  </si>
  <si>
    <t>1.37</t>
  </si>
  <si>
    <t>2.84</t>
  </si>
  <si>
    <t>1.53</t>
  </si>
  <si>
    <t>-1.31</t>
  </si>
  <si>
    <t>1.64</t>
  </si>
  <si>
    <t>19.84</t>
  </si>
  <si>
    <t>$1,016.83</t>
  </si>
  <si>
    <t>Czech Republic</t>
  </si>
  <si>
    <t>1.78</t>
  </si>
  <si>
    <t>4.31</t>
  </si>
  <si>
    <t>$14,522.80</t>
  </si>
  <si>
    <t>3.92</t>
  </si>
  <si>
    <t>1.55</t>
  </si>
  <si>
    <t>-1.12</t>
  </si>
  <si>
    <t>Denmark</t>
  </si>
  <si>
    <t>0.77</t>
  </si>
  <si>
    <t>$5,175.94</t>
  </si>
  <si>
    <t>2.56</t>
  </si>
  <si>
    <t>$31,454.70</t>
  </si>
  <si>
    <t>Djibouti</t>
  </si>
  <si>
    <t>-3.87</t>
  </si>
  <si>
    <t>2.43</t>
  </si>
  <si>
    <t>12.35</t>
  </si>
  <si>
    <t>10.66</t>
  </si>
  <si>
    <t>$21,676.30</t>
  </si>
  <si>
    <t>3.42</t>
  </si>
  <si>
    <t>Dominica</t>
  </si>
  <si>
    <t>2.46</t>
  </si>
  <si>
    <t>-2.73</t>
  </si>
  <si>
    <t>$61,413.60</t>
  </si>
  <si>
    <t>5.51</t>
  </si>
  <si>
    <t>2.38</t>
  </si>
  <si>
    <t>4.78</t>
  </si>
  <si>
    <t>0.86</t>
  </si>
  <si>
    <t>$1,433.17</t>
  </si>
  <si>
    <t>-1.42</t>
  </si>
  <si>
    <t>Dominican Republic</t>
  </si>
  <si>
    <t>$7,088.01</t>
  </si>
  <si>
    <t>1.47</t>
  </si>
  <si>
    <t>-1.54</t>
  </si>
  <si>
    <t>1.49</t>
  </si>
  <si>
    <t>$6,085.89</t>
  </si>
  <si>
    <t>-0.97</t>
  </si>
  <si>
    <t>2.74</t>
  </si>
  <si>
    <t>Ecuador</t>
  </si>
  <si>
    <t>15.49</t>
  </si>
  <si>
    <t>$5,192.88</t>
  </si>
  <si>
    <t>Egypt</t>
  </si>
  <si>
    <t>80.72</t>
  </si>
  <si>
    <t>$2,930.33</t>
  </si>
  <si>
    <t>-1.59</t>
  </si>
  <si>
    <t>3.86</t>
  </si>
  <si>
    <t>El Salvador</t>
  </si>
  <si>
    <t>$3,696.33</t>
  </si>
  <si>
    <t>3.37</t>
  </si>
  <si>
    <t>Equatorial Guinea</t>
  </si>
  <si>
    <t>$24,064.00</t>
  </si>
  <si>
    <t>3.97</t>
  </si>
  <si>
    <t>2.29</t>
  </si>
  <si>
    <t>0.9</t>
  </si>
  <si>
    <t>Eritrea</t>
  </si>
  <si>
    <t>$439.73</t>
  </si>
  <si>
    <t>Estonia</t>
  </si>
  <si>
    <t>$17,304.40</t>
  </si>
  <si>
    <t>10.53</t>
  </si>
  <si>
    <t>3.67</t>
  </si>
  <si>
    <t>3.96</t>
  </si>
  <si>
    <t>Ethiopia</t>
  </si>
  <si>
    <t>91.73</t>
  </si>
  <si>
    <t>$379.38</t>
  </si>
  <si>
    <t>-0.44</t>
  </si>
  <si>
    <t>1.75</t>
  </si>
  <si>
    <t>Fiji</t>
  </si>
  <si>
    <t>$4,201.37</t>
  </si>
  <si>
    <t>2.37</t>
  </si>
  <si>
    <t>-0.52</t>
  </si>
  <si>
    <t>Finland</t>
  </si>
  <si>
    <t>5.41</t>
  </si>
  <si>
    <t>$50,960.20</t>
  </si>
  <si>
    <t>5.87</t>
  </si>
  <si>
    <t>13.44</t>
  </si>
  <si>
    <t>7.57</t>
  </si>
  <si>
    <t>3.39</t>
  </si>
  <si>
    <t>France</t>
  </si>
  <si>
    <t>63.98</t>
  </si>
  <si>
    <t>$45,430.30</t>
  </si>
  <si>
    <t>0.53</t>
  </si>
  <si>
    <t>0.96</t>
  </si>
  <si>
    <t>-2.04</t>
  </si>
  <si>
    <t>1.66</t>
  </si>
  <si>
    <t>French Guiana</t>
  </si>
  <si>
    <t>1.58</t>
  </si>
  <si>
    <t>95.16</t>
  </si>
  <si>
    <t>16.07</t>
  </si>
  <si>
    <t>111.35</t>
  </si>
  <si>
    <t>109.01</t>
  </si>
  <si>
    <t>1.35</t>
  </si>
  <si>
    <t>French Polynesia</t>
  </si>
  <si>
    <t>2.39</t>
  </si>
  <si>
    <t>4.73</t>
  </si>
  <si>
    <t>-3.36</t>
  </si>
  <si>
    <t>2.73</t>
  </si>
  <si>
    <t>3.45</t>
  </si>
  <si>
    <t>Gabon</t>
  </si>
  <si>
    <t>$11,989.00</t>
  </si>
  <si>
    <t>19.5</t>
  </si>
  <si>
    <t>2.93</t>
  </si>
  <si>
    <t>26.31</t>
  </si>
  <si>
    <t>24.29</t>
  </si>
  <si>
    <t>Gambia</t>
  </si>
  <si>
    <t>1.79</t>
  </si>
  <si>
    <t>$505.76</t>
  </si>
  <si>
    <t>-0.21</t>
  </si>
  <si>
    <t>Georgia</t>
  </si>
  <si>
    <t>$3,710.70</t>
  </si>
  <si>
    <t>-0.41</t>
  </si>
  <si>
    <t>Germany</t>
  </si>
  <si>
    <t>82.8</t>
  </si>
  <si>
    <t>$46,822.40</t>
  </si>
  <si>
    <t>-3.02</t>
  </si>
  <si>
    <t>2.33</t>
  </si>
  <si>
    <t>Ghana</t>
  </si>
  <si>
    <t>25.37</t>
  </si>
  <si>
    <t>$1,627.90</t>
  </si>
  <si>
    <t>1.97</t>
  </si>
  <si>
    <t>-0.62</t>
  </si>
  <si>
    <t>Greece</t>
  </si>
  <si>
    <t>$25,987.40</t>
  </si>
  <si>
    <t>-2.77</t>
  </si>
  <si>
    <t>2.53</t>
  </si>
  <si>
    <t>Grenada</t>
  </si>
  <si>
    <t>$7,410.48</t>
  </si>
  <si>
    <t>2.98</t>
  </si>
  <si>
    <t>1.96</t>
  </si>
  <si>
    <t>-1.01</t>
  </si>
  <si>
    <t>Guadeloupe</t>
  </si>
  <si>
    <t>2.61</t>
  </si>
  <si>
    <t>Guatemala</t>
  </si>
  <si>
    <t>15.08</t>
  </si>
  <si>
    <t>$3,233.80</t>
  </si>
  <si>
    <t>1.89</t>
  </si>
  <si>
    <t>-0.9</t>
  </si>
  <si>
    <t>Guinea</t>
  </si>
  <si>
    <t>11.45</t>
  </si>
  <si>
    <t>$459.09</t>
  </si>
  <si>
    <t>Guinea-Bissau</t>
  </si>
  <si>
    <t>$681.25</t>
  </si>
  <si>
    <t>Guyana</t>
  </si>
  <si>
    <t>$3,269.46</t>
  </si>
  <si>
    <t>1.51</t>
  </si>
  <si>
    <t>59.19</t>
  </si>
  <si>
    <t>66.58</t>
  </si>
  <si>
    <t>63.51</t>
  </si>
  <si>
    <t>1.77</t>
  </si>
  <si>
    <t>Haiti</t>
  </si>
  <si>
    <t>$749.13</t>
  </si>
  <si>
    <t>-0.34</t>
  </si>
  <si>
    <t>Honduras</t>
  </si>
  <si>
    <t>7.94</t>
  </si>
  <si>
    <t>$2,269.51</t>
  </si>
  <si>
    <t>1.68</t>
  </si>
  <si>
    <t>0.95</t>
  </si>
  <si>
    <t>Hungary</t>
  </si>
  <si>
    <t>9.98</t>
  </si>
  <si>
    <t>$13,964.20</t>
  </si>
  <si>
    <t>2.92</t>
  </si>
  <si>
    <t>-0.75</t>
  </si>
  <si>
    <t>1.34</t>
  </si>
  <si>
    <t>India</t>
  </si>
  <si>
    <t>1236.69</t>
  </si>
  <si>
    <t>$1,513.85</t>
  </si>
  <si>
    <t>-0.71</t>
  </si>
  <si>
    <t>Indonesia</t>
  </si>
  <si>
    <t>246.86</t>
  </si>
  <si>
    <t>$3,688.53</t>
  </si>
  <si>
    <t>-0.32</t>
  </si>
  <si>
    <t>Iran, Islamic Republic of</t>
  </si>
  <si>
    <t>76.42</t>
  </si>
  <si>
    <t>$7,511.10</t>
  </si>
  <si>
    <t>2.79</t>
  </si>
  <si>
    <t>-1.89</t>
  </si>
  <si>
    <t>Iraq</t>
  </si>
  <si>
    <t>32.78</t>
  </si>
  <si>
    <t>$5,848.54</t>
  </si>
  <si>
    <t>1.36</t>
  </si>
  <si>
    <t>1.88</t>
  </si>
  <si>
    <t>6.58</t>
  </si>
  <si>
    <t>Ireland</t>
  </si>
  <si>
    <t>4.58</t>
  </si>
  <si>
    <t>$52,853.60</t>
  </si>
  <si>
    <t>5.57</t>
  </si>
  <si>
    <t>3.73</t>
  </si>
  <si>
    <t>-1.83</t>
  </si>
  <si>
    <t>Israel</t>
  </si>
  <si>
    <t>7.64</t>
  </si>
  <si>
    <t>$33,718.90</t>
  </si>
  <si>
    <t>4.59</t>
  </si>
  <si>
    <t>-5.87</t>
  </si>
  <si>
    <t>17.59</t>
  </si>
  <si>
    <t>Italy</t>
  </si>
  <si>
    <t>60.92</t>
  </si>
  <si>
    <t>$38,412.00</t>
  </si>
  <si>
    <t>2.77</t>
  </si>
  <si>
    <t>4.61</t>
  </si>
  <si>
    <t>-3.53</t>
  </si>
  <si>
    <t>2.66</t>
  </si>
  <si>
    <t>Jamaica</t>
  </si>
  <si>
    <t>$5,226.30</t>
  </si>
  <si>
    <t>4.39</t>
  </si>
  <si>
    <t>Japan</t>
  </si>
  <si>
    <t>127.25</t>
  </si>
  <si>
    <t>$46,201.60</t>
  </si>
  <si>
    <t>3.69</t>
  </si>
  <si>
    <t>-4.3</t>
  </si>
  <si>
    <t>Jordan</t>
  </si>
  <si>
    <t>$4,615.17</t>
  </si>
  <si>
    <t>9.91</t>
  </si>
  <si>
    <t>Kazakhstan</t>
  </si>
  <si>
    <t>16.27</t>
  </si>
  <si>
    <t>$11,278.00</t>
  </si>
  <si>
    <t>5.55</t>
  </si>
  <si>
    <t>1.93</t>
  </si>
  <si>
    <t>-2.14</t>
  </si>
  <si>
    <t>Kenya</t>
  </si>
  <si>
    <t>43.18</t>
  </si>
  <si>
    <t>$1,062.11</t>
  </si>
  <si>
    <t>Korea, Democratic People's Republic of</t>
  </si>
  <si>
    <t>24.76</t>
  </si>
  <si>
    <t>-0.57</t>
  </si>
  <si>
    <t>1.94</t>
  </si>
  <si>
    <t>Korea, Republic of</t>
  </si>
  <si>
    <t>$24,155.80</t>
  </si>
  <si>
    <t>5.69</t>
  </si>
  <si>
    <t>-5.01</t>
  </si>
  <si>
    <t>8.36</t>
  </si>
  <si>
    <t>Kuwait</t>
  </si>
  <si>
    <t>$41,830.50</t>
  </si>
  <si>
    <t>6.89</t>
  </si>
  <si>
    <t>-7.58</t>
  </si>
  <si>
    <t>14.68</t>
  </si>
  <si>
    <t>Kyrgyzstan</t>
  </si>
  <si>
    <t>5.47</t>
  </si>
  <si>
    <t>$1,116.37</t>
  </si>
  <si>
    <t>-0.61</t>
  </si>
  <si>
    <t>Lao People's Democratic Republic</t>
  </si>
  <si>
    <t>6.65</t>
  </si>
  <si>
    <t>$1,236.24</t>
  </si>
  <si>
    <t>1.62</t>
  </si>
  <si>
    <t>Latvia</t>
  </si>
  <si>
    <t>$13,732.00</t>
  </si>
  <si>
    <t>Lebanon</t>
  </si>
  <si>
    <t>4.65</t>
  </si>
  <si>
    <t>$9,143.86</t>
  </si>
  <si>
    <t>3.84</t>
  </si>
  <si>
    <t>-3.51</t>
  </si>
  <si>
    <t>Lesotho</t>
  </si>
  <si>
    <t>$1,338.42</t>
  </si>
  <si>
    <t>-0.87</t>
  </si>
  <si>
    <t>Liberia</t>
  </si>
  <si>
    <t>$397.38</t>
  </si>
  <si>
    <t>1.45</t>
  </si>
  <si>
    <t>Libyan Arab Jamahiriya</t>
  </si>
  <si>
    <t>$5,859.43</t>
  </si>
  <si>
    <t>Lithuania</t>
  </si>
  <si>
    <t>$14,373.70</t>
  </si>
  <si>
    <t>5.83</t>
  </si>
  <si>
    <t>5.67</t>
  </si>
  <si>
    <t>-0.17</t>
  </si>
  <si>
    <t>Luxembourg</t>
  </si>
  <si>
    <t>$114,665.00</t>
  </si>
  <si>
    <t>12.65</t>
  </si>
  <si>
    <t>15.82</t>
  </si>
  <si>
    <t>-14.14</t>
  </si>
  <si>
    <t>9.44</t>
  </si>
  <si>
    <t>Macedonia TFYR</t>
  </si>
  <si>
    <t>$5,174.89</t>
  </si>
  <si>
    <t>-1.75</t>
  </si>
  <si>
    <t>Madagascar</t>
  </si>
  <si>
    <t>22.29</t>
  </si>
  <si>
    <t>$456.33</t>
  </si>
  <si>
    <t>2.63</t>
  </si>
  <si>
    <t>Malawi</t>
  </si>
  <si>
    <t>15.91</t>
  </si>
  <si>
    <t>$493.84</t>
  </si>
  <si>
    <t>-0.15</t>
  </si>
  <si>
    <t>Malaysia</t>
  </si>
  <si>
    <t>29.24</t>
  </si>
  <si>
    <t>$10,252.60</t>
  </si>
  <si>
    <t>3.71</t>
  </si>
  <si>
    <t>2.41</t>
  </si>
  <si>
    <t>-1.3</t>
  </si>
  <si>
    <t>1.54</t>
  </si>
  <si>
    <t>Mali</t>
  </si>
  <si>
    <t>14.85</t>
  </si>
  <si>
    <t>$741.22</t>
  </si>
  <si>
    <t>Martinique</t>
  </si>
  <si>
    <t>1.73</t>
  </si>
  <si>
    <t>-1.7</t>
  </si>
  <si>
    <t>Mauritania</t>
  </si>
  <si>
    <t>$1,524.39</t>
  </si>
  <si>
    <t>2.54</t>
  </si>
  <si>
    <t>2.91</t>
  </si>
  <si>
    <t>1.38</t>
  </si>
  <si>
    <t>Mauritius</t>
  </si>
  <si>
    <t>$8,811.15</t>
  </si>
  <si>
    <t>1.99</t>
  </si>
  <si>
    <t>3.46</t>
  </si>
  <si>
    <t>-2.75</t>
  </si>
  <si>
    <t>4.89</t>
  </si>
  <si>
    <t>Mexico</t>
  </si>
  <si>
    <t>120.85</t>
  </si>
  <si>
    <t>$10,123.90</t>
  </si>
  <si>
    <t>2.89</t>
  </si>
  <si>
    <t>-1.62</t>
  </si>
  <si>
    <t>Moldova</t>
  </si>
  <si>
    <t>3.51</t>
  </si>
  <si>
    <t>$1,971.03</t>
  </si>
  <si>
    <t>-0.98</t>
  </si>
  <si>
    <t>Mongolia</t>
  </si>
  <si>
    <t>$3,736.07</t>
  </si>
  <si>
    <t>15.66</t>
  </si>
  <si>
    <t>9.58</t>
  </si>
  <si>
    <t>Montenegro</t>
  </si>
  <si>
    <t>$7,251.60</t>
  </si>
  <si>
    <t>-0.54</t>
  </si>
  <si>
    <t>Montserrat</t>
  </si>
  <si>
    <t>7.78</t>
  </si>
  <si>
    <t>-6.42</t>
  </si>
  <si>
    <t>4.49</t>
  </si>
  <si>
    <t>5.71</t>
  </si>
  <si>
    <t>Morocco</t>
  </si>
  <si>
    <t>32.52</t>
  </si>
  <si>
    <t>$3,149.43</t>
  </si>
  <si>
    <t>-0.96</t>
  </si>
  <si>
    <t>2.35</t>
  </si>
  <si>
    <t>Mozambique</t>
  </si>
  <si>
    <t>25.2</t>
  </si>
  <si>
    <t>$538.82</t>
  </si>
  <si>
    <t>Myanmar</t>
  </si>
  <si>
    <t>52.8</t>
  </si>
  <si>
    <t>$1,117.58</t>
  </si>
  <si>
    <t>1.43</t>
  </si>
  <si>
    <t>1.84</t>
  </si>
  <si>
    <t>Namibia</t>
  </si>
  <si>
    <t>$5,880.80</t>
  </si>
  <si>
    <t>4.76</t>
  </si>
  <si>
    <t>6.88</t>
  </si>
  <si>
    <t>Nauru</t>
  </si>
  <si>
    <t>-2.76</t>
  </si>
  <si>
    <t>15.83</t>
  </si>
  <si>
    <t>Nepal</t>
  </si>
  <si>
    <t>27.47</t>
  </si>
  <si>
    <t>$700.07</t>
  </si>
  <si>
    <t>-0.38</t>
  </si>
  <si>
    <t>Netherlands</t>
  </si>
  <si>
    <t>16.71</t>
  </si>
  <si>
    <t>$53,589.90</t>
  </si>
  <si>
    <t>-4.11</t>
  </si>
  <si>
    <t>New Caledonia</t>
  </si>
  <si>
    <t>3.58</t>
  </si>
  <si>
    <t>5.35</t>
  </si>
  <si>
    <t>7.67</t>
  </si>
  <si>
    <t>New Zealand</t>
  </si>
  <si>
    <t>$37,488.30</t>
  </si>
  <si>
    <t>5.95</t>
  </si>
  <si>
    <t>4.54</t>
  </si>
  <si>
    <t>Nicaragua</t>
  </si>
  <si>
    <t>5.99</t>
  </si>
  <si>
    <t>$1,626.85</t>
  </si>
  <si>
    <t>1.39</t>
  </si>
  <si>
    <t>Niger</t>
  </si>
  <si>
    <t>17.16</t>
  </si>
  <si>
    <t>$410.91</t>
  </si>
  <si>
    <t>1.56</t>
  </si>
  <si>
    <t>Nigeria</t>
  </si>
  <si>
    <t>168.83</t>
  </si>
  <si>
    <t>$2,612.12</t>
  </si>
  <si>
    <t>-0.47</t>
  </si>
  <si>
    <t>Norway</t>
  </si>
  <si>
    <t>4.99</t>
  </si>
  <si>
    <t>$100,172.00</t>
  </si>
  <si>
    <t>4.98</t>
  </si>
  <si>
    <t>2.88</t>
  </si>
  <si>
    <t>Oman</t>
  </si>
  <si>
    <t>$22,622.80</t>
  </si>
  <si>
    <t>7.52</t>
  </si>
  <si>
    <t>-5.6</t>
  </si>
  <si>
    <t>3.93</t>
  </si>
  <si>
    <t>Pakistan</t>
  </si>
  <si>
    <t>179.16</t>
  </si>
  <si>
    <t>$1,218.60</t>
  </si>
  <si>
    <t>Panama</t>
  </si>
  <si>
    <t>$8,410.77</t>
  </si>
  <si>
    <t>1.44</t>
  </si>
  <si>
    <t>Papua New Guinea</t>
  </si>
  <si>
    <t>$1,871.21</t>
  </si>
  <si>
    <t>Paraguay</t>
  </si>
  <si>
    <t>6.69</t>
  </si>
  <si>
    <t>$3,557.31</t>
  </si>
  <si>
    <t>2.51</t>
  </si>
  <si>
    <t>5.54</t>
  </si>
  <si>
    <t>10.52</t>
  </si>
  <si>
    <t>6.36</t>
  </si>
  <si>
    <t>Peru</t>
  </si>
  <si>
    <t>29.99</t>
  </si>
  <si>
    <t>$5,684.73</t>
  </si>
  <si>
    <t>2.82</t>
  </si>
  <si>
    <t>Philippines</t>
  </si>
  <si>
    <t>96.71</t>
  </si>
  <si>
    <t>$2,379.44</t>
  </si>
  <si>
    <t>-0.56</t>
  </si>
  <si>
    <t>Poland</t>
  </si>
  <si>
    <t>38.21</t>
  </si>
  <si>
    <t>$13,769.50</t>
  </si>
  <si>
    <t>4.44</t>
  </si>
  <si>
    <t>-2.36</t>
  </si>
  <si>
    <t>Portugal</t>
  </si>
  <si>
    <t>$23,217.30</t>
  </si>
  <si>
    <t>3.88</t>
  </si>
  <si>
    <t>-2.37</t>
  </si>
  <si>
    <t>Qatar</t>
  </si>
  <si>
    <t>$99,431.50</t>
  </si>
  <si>
    <t>9.57</t>
  </si>
  <si>
    <t>-9.56</t>
  </si>
  <si>
    <t>8.72</t>
  </si>
  <si>
    <t>Réunion</t>
  </si>
  <si>
    <t>3.65</t>
  </si>
  <si>
    <t>-3.47</t>
  </si>
  <si>
    <t>20.18</t>
  </si>
  <si>
    <t>Romania</t>
  </si>
  <si>
    <t>21.76</t>
  </si>
  <si>
    <t>$9,213.94</t>
  </si>
  <si>
    <t>-0.39</t>
  </si>
  <si>
    <t>Russian Federation</t>
  </si>
  <si>
    <t>143.17</t>
  </si>
  <si>
    <t>$13,320.20</t>
  </si>
  <si>
    <t>3.87</t>
  </si>
  <si>
    <t>6.79</t>
  </si>
  <si>
    <t>Rwanda</t>
  </si>
  <si>
    <t>11.46</t>
  </si>
  <si>
    <t>$628.08</t>
  </si>
  <si>
    <t>Saint Kitts and Nevis</t>
  </si>
  <si>
    <t>$12,952.50</t>
  </si>
  <si>
    <t>3.34</t>
  </si>
  <si>
    <t>4.94</t>
  </si>
  <si>
    <t>-4.31</t>
  </si>
  <si>
    <t>2.85</t>
  </si>
  <si>
    <t>7.92</t>
  </si>
  <si>
    <t>Saint Lucia</t>
  </si>
  <si>
    <t>$7,737.20</t>
  </si>
  <si>
    <t>2.45</t>
  </si>
  <si>
    <t>-2.1</t>
  </si>
  <si>
    <t>Saint Vincent and Grenadines</t>
  </si>
  <si>
    <t>$6,171.48</t>
  </si>
  <si>
    <t>-1.85</t>
  </si>
  <si>
    <t>2.47</t>
  </si>
  <si>
    <t>Samoa</t>
  </si>
  <si>
    <t>$4,067.15</t>
  </si>
  <si>
    <t>-0.85</t>
  </si>
  <si>
    <t>Sao Tome and Principe</t>
  </si>
  <si>
    <t>$1,384.53</t>
  </si>
  <si>
    <t>Saudi Arabia</t>
  </si>
  <si>
    <t>28.29</t>
  </si>
  <si>
    <t>$23,593.80</t>
  </si>
  <si>
    <t>5.61</t>
  </si>
  <si>
    <t>-5.12</t>
  </si>
  <si>
    <t>Senegal</t>
  </si>
  <si>
    <t>13.73</t>
  </si>
  <si>
    <t>$1,079.27</t>
  </si>
  <si>
    <t>-0.16</t>
  </si>
  <si>
    <t>Serbia</t>
  </si>
  <si>
    <t>$6,426.18</t>
  </si>
  <si>
    <t>-1.44</t>
  </si>
  <si>
    <t>Sierra Leone</t>
  </si>
  <si>
    <t>5.98</t>
  </si>
  <si>
    <t>$499.89</t>
  </si>
  <si>
    <t>Singapore</t>
  </si>
  <si>
    <t>$53,122.40</t>
  </si>
  <si>
    <t>5.91</t>
  </si>
  <si>
    <t>7.97</t>
  </si>
  <si>
    <t>-7.92</t>
  </si>
  <si>
    <t>159.47</t>
  </si>
  <si>
    <t>Slovakia</t>
  </si>
  <si>
    <t>5.45</t>
  </si>
  <si>
    <t>$18,103.10</t>
  </si>
  <si>
    <t>1.85</t>
  </si>
  <si>
    <t>Slovenia</t>
  </si>
  <si>
    <t>$25,040.50</t>
  </si>
  <si>
    <t>3.36</t>
  </si>
  <si>
    <t>Solomon Islands</t>
  </si>
  <si>
    <t>$1,647.86</t>
  </si>
  <si>
    <t>Somalia</t>
  </si>
  <si>
    <t>South Africa</t>
  </si>
  <si>
    <t>52.39</t>
  </si>
  <si>
    <t>$8,089.87</t>
  </si>
  <si>
    <t>-2.16</t>
  </si>
  <si>
    <t>Spain</t>
  </si>
  <si>
    <t>46.76</t>
  </si>
  <si>
    <t>$32,008.70</t>
  </si>
  <si>
    <t>-2.42</t>
  </si>
  <si>
    <t>Sri Lanka</t>
  </si>
  <si>
    <t>21.1</t>
  </si>
  <si>
    <t>$2,880.03</t>
  </si>
  <si>
    <t>-0.88</t>
  </si>
  <si>
    <t>Suriname</t>
  </si>
  <si>
    <t>$8,190.70</t>
  </si>
  <si>
    <t>81.52</t>
  </si>
  <si>
    <t>7.39</t>
  </si>
  <si>
    <t>89.33</t>
  </si>
  <si>
    <t>85.08</t>
  </si>
  <si>
    <t>Swaziland</t>
  </si>
  <si>
    <t>$4,657.48</t>
  </si>
  <si>
    <t>-1.14</t>
  </si>
  <si>
    <t>Sweden</t>
  </si>
  <si>
    <t>9.51</t>
  </si>
  <si>
    <t>$59,381.90</t>
  </si>
  <si>
    <t>6.66</t>
  </si>
  <si>
    <t>10.62</t>
  </si>
  <si>
    <t>Switzerland</t>
  </si>
  <si>
    <t>$88,506.20</t>
  </si>
  <si>
    <t>5.79</t>
  </si>
  <si>
    <t>-4.48</t>
  </si>
  <si>
    <t>Syrian Arab Republic</t>
  </si>
  <si>
    <t>21.89</t>
  </si>
  <si>
    <t>-0.91</t>
  </si>
  <si>
    <t>Tajikistan</t>
  </si>
  <si>
    <t>$836.17</t>
  </si>
  <si>
    <t>Tanzania, United Republic of</t>
  </si>
  <si>
    <t>47.78</t>
  </si>
  <si>
    <t>$765.33</t>
  </si>
  <si>
    <t>-0.24</t>
  </si>
  <si>
    <t>Thailand</t>
  </si>
  <si>
    <t>66.78</t>
  </si>
  <si>
    <t>$5,479.29</t>
  </si>
  <si>
    <t>Timor-Leste</t>
  </si>
  <si>
    <t>$5,167.86</t>
  </si>
  <si>
    <t>Togo</t>
  </si>
  <si>
    <t>6.64</t>
  </si>
  <si>
    <t>$580.86</t>
  </si>
  <si>
    <t>-0.6</t>
  </si>
  <si>
    <t>Tonga</t>
  </si>
  <si>
    <t>$4,330.90</t>
  </si>
  <si>
    <t>1.48</t>
  </si>
  <si>
    <t>-1.22</t>
  </si>
  <si>
    <t>Trinidad and Tobago</t>
  </si>
  <si>
    <t>$18,310.80</t>
  </si>
  <si>
    <t>-6.36</t>
  </si>
  <si>
    <t>4.57</t>
  </si>
  <si>
    <t>Tunisia</t>
  </si>
  <si>
    <t>10.88</t>
  </si>
  <si>
    <t>$4,305.07</t>
  </si>
  <si>
    <t>-1.4</t>
  </si>
  <si>
    <t>Turkey</t>
  </si>
  <si>
    <t>$10,437.70</t>
  </si>
  <si>
    <t>-1.81</t>
  </si>
  <si>
    <t>Turkmenistan</t>
  </si>
  <si>
    <t>$5,290.14</t>
  </si>
  <si>
    <t>-2.68</t>
  </si>
  <si>
    <t>Uganda</t>
  </si>
  <si>
    <t>36.35</t>
  </si>
  <si>
    <t>$601.35</t>
  </si>
  <si>
    <t>-0.66</t>
  </si>
  <si>
    <t>Ukraine</t>
  </si>
  <si>
    <t>45.53</t>
  </si>
  <si>
    <t>$3,589.63</t>
  </si>
  <si>
    <t>-0.58</t>
  </si>
  <si>
    <t>United Kingdom</t>
  </si>
  <si>
    <t>63.03</t>
  </si>
  <si>
    <t>$40,980.50</t>
  </si>
  <si>
    <t>-3.62</t>
  </si>
  <si>
    <t>3.76</t>
  </si>
  <si>
    <t>United Arab Emirates</t>
  </si>
  <si>
    <t>9.206</t>
  </si>
  <si>
    <t>$40,817.40</t>
  </si>
  <si>
    <t>6.37</t>
  </si>
  <si>
    <t>7.93</t>
  </si>
  <si>
    <t>-7.37</t>
  </si>
  <si>
    <t>14.1607142857143</t>
  </si>
  <si>
    <t>United States of America</t>
  </si>
  <si>
    <t>317.5</t>
  </si>
  <si>
    <t>$49,725.00</t>
  </si>
  <si>
    <t>-4.46</t>
  </si>
  <si>
    <t>4.75</t>
  </si>
  <si>
    <t>Uruguay</t>
  </si>
  <si>
    <t>$14,238.10</t>
  </si>
  <si>
    <t>4.86</t>
  </si>
  <si>
    <t>10.32</t>
  </si>
  <si>
    <t>7.41</t>
  </si>
  <si>
    <t>Uzbekistan</t>
  </si>
  <si>
    <t>28.54</t>
  </si>
  <si>
    <t>$1,560.85</t>
  </si>
  <si>
    <t>Venezuela, Bolivarian Republic of</t>
  </si>
  <si>
    <t>29.96</t>
  </si>
  <si>
    <t>0.763846</t>
  </si>
  <si>
    <t>$10,237.80</t>
  </si>
  <si>
    <t>3.57</t>
  </si>
  <si>
    <t>2.78</t>
  </si>
  <si>
    <t>-0.79</t>
  </si>
  <si>
    <t>Viet Nam</t>
  </si>
  <si>
    <t>90.8</t>
  </si>
  <si>
    <t>$1,532.31</t>
  </si>
  <si>
    <t>-0.65</t>
  </si>
  <si>
    <t>Wallis and Futuna Islands</t>
  </si>
  <si>
    <t>Yemen</t>
  </si>
  <si>
    <t>23.85</t>
  </si>
  <si>
    <t>$1,302.30</t>
  </si>
  <si>
    <t>Zambia</t>
  </si>
  <si>
    <t>14.08</t>
  </si>
  <si>
    <t>$1,740.64</t>
  </si>
  <si>
    <t>Zimbabwe</t>
  </si>
  <si>
    <t>13.72</t>
  </si>
  <si>
    <t>$865.91</t>
  </si>
  <si>
    <t>COUNTA z Country</t>
  </si>
  <si>
    <t>AVERAGE z GDP per Capita</t>
  </si>
  <si>
    <t>AVERAGE z Total Ecological Footprint</t>
  </si>
  <si>
    <t>AVERAGE z Earths Required</t>
  </si>
  <si>
    <t>Suma całkowita</t>
  </si>
  <si>
    <t>AVERAGE z Total Biocapacity</t>
  </si>
  <si>
    <t>AVERAGE z Biocapacity Deficit or Reserve</t>
  </si>
  <si>
    <t>AVERAGE z Cropland Footprint</t>
  </si>
  <si>
    <t>AVERAGE z Grazing Footprint</t>
  </si>
  <si>
    <t>AVERAGE z Forest Footprint</t>
  </si>
  <si>
    <t>AVERAGE z Carbon Footprint</t>
  </si>
  <si>
    <t>AVERAGE z Fish Footprint</t>
  </si>
  <si>
    <t>Global Ecological Footprint &amp; Biocapacity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</si>
</sst>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d"/>
    <numFmt numFmtId="165" formatCode="mm.dd"/>
    <numFmt numFmtId="166" formatCode="yyyy.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Earths Required by Development Tier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pivot_tables!$A$2:$A$7</c:f>
            </c:strRef>
          </c:cat>
          <c:val>
            <c:numRef>
              <c:f>pivot_tables!$E$2:$E$7</c:f>
              <c:numCache/>
            </c:numRef>
          </c:val>
        </c:ser>
        <c:axId val="1509787937"/>
        <c:axId val="1252914304"/>
      </c:barChart>
      <c:catAx>
        <c:axId val="1509787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914304"/>
      </c:catAx>
      <c:valAx>
        <c:axId val="1252914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Earths Required (Average)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787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Ecological Deficit &amp; Reserve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pivot_tables!$D$10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</c:dPt>
          <c:dPt>
            <c:idx val="4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pivot_tables!$A$11:$A$18</c:f>
            </c:strRef>
          </c:cat>
          <c:val>
            <c:numRef>
              <c:f>pivot_tables!$D$11:$D$18</c:f>
              <c:numCache/>
            </c:numRef>
          </c:val>
        </c:ser>
        <c:axId val="1056218067"/>
        <c:axId val="944794847"/>
      </c:barChart>
      <c:catAx>
        <c:axId val="10562180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794847"/>
      </c:catAx>
      <c:valAx>
        <c:axId val="944794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Ecological Deficit &amp; Reserve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2180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Ecological Footprint Components by Tier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Cropland Footprint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pivot_tables!$A$22:$A$27</c:f>
            </c:strRef>
          </c:cat>
          <c:val>
            <c:numRef>
              <c:f>pivot_tables!$B$22:$B$27</c:f>
              <c:numCache/>
            </c:numRef>
          </c:val>
        </c:ser>
        <c:ser>
          <c:idx val="1"/>
          <c:order val="1"/>
          <c:tx>
            <c:v>AVERAGE Grazing Footprint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pivot_tables!$A$22:$A$27</c:f>
            </c:strRef>
          </c:cat>
          <c:val>
            <c:numRef>
              <c:f>pivot_tables!$C$22:$C$27</c:f>
              <c:numCache/>
            </c:numRef>
          </c:val>
        </c:ser>
        <c:ser>
          <c:idx val="2"/>
          <c:order val="2"/>
          <c:tx>
            <c:v>AVERAGE Forest Footprint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pivot_tables!$A$22:$A$27</c:f>
            </c:strRef>
          </c:cat>
          <c:val>
            <c:numRef>
              <c:f>pivot_tables!$D$22:$D$27</c:f>
              <c:numCache/>
            </c:numRef>
          </c:val>
        </c:ser>
        <c:ser>
          <c:idx val="3"/>
          <c:order val="3"/>
          <c:tx>
            <c:v>AVERAGE Carbon Footprint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pivot_tables!$A$22:$A$27</c:f>
            </c:strRef>
          </c:cat>
          <c:val>
            <c:numRef>
              <c:f>pivot_tables!$E$22:$E$27</c:f>
              <c:numCache/>
            </c:numRef>
          </c:val>
        </c:ser>
        <c:ser>
          <c:idx val="4"/>
          <c:order val="4"/>
          <c:tx>
            <c:v>AVERAGE Fish Footprint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pivot_tables!$A$22:$A$27</c:f>
            </c:strRef>
          </c:cat>
          <c:val>
            <c:numRef>
              <c:f>pivot_tables!$F$22:$F$27</c:f>
              <c:numCache/>
            </c:numRef>
          </c:val>
        </c:ser>
        <c:axId val="1660667340"/>
        <c:axId val="901286772"/>
      </c:barChart>
      <c:catAx>
        <c:axId val="1660667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286772"/>
      </c:catAx>
      <c:valAx>
        <c:axId val="901286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Components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667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Earths Required by Development Tier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pivot_tables!$A$2:$A$6</c:f>
            </c:strRef>
          </c:cat>
          <c:val>
            <c:numRef>
              <c:f>pivot_tables!$E$2:$E$6</c:f>
              <c:numCache/>
            </c:numRef>
          </c:val>
        </c:ser>
        <c:axId val="1724644589"/>
        <c:axId val="1897221505"/>
      </c:barChart>
      <c:catAx>
        <c:axId val="172464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221505"/>
      </c:catAx>
      <c:valAx>
        <c:axId val="1897221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Earths Required (Average)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644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Ecological Deficit &amp; Reserve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pivot_tables!$D$10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</c:dPt>
          <c:dPt>
            <c:idx val="4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pivot_tables!$A$11:$A$17</c:f>
            </c:strRef>
          </c:cat>
          <c:val>
            <c:numRef>
              <c:f>pivot_tables!$D$11:$D$17</c:f>
              <c:numCache/>
            </c:numRef>
          </c:val>
        </c:ser>
        <c:axId val="1815057819"/>
        <c:axId val="1188534240"/>
      </c:barChart>
      <c:catAx>
        <c:axId val="18150578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534240"/>
      </c:catAx>
      <c:valAx>
        <c:axId val="11885342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Ecological Deficit &amp; Reserve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0578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Ecological Footprint Breakdown by Development Tier</a:t>
            </a:r>
          </a:p>
        </c:rich>
      </c:tx>
      <c:layout>
        <c:manualLayout>
          <c:xMode val="edge"/>
          <c:yMode val="edge"/>
          <c:x val="0.03938428874734607"/>
          <c:y val="0.04730458221024259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Cropland Footprint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pivot_tables!$A$22:$A$26</c:f>
            </c:strRef>
          </c:cat>
          <c:val>
            <c:numRef>
              <c:f>pivot_tables!$B$22:$B$26</c:f>
              <c:numCache/>
            </c:numRef>
          </c:val>
        </c:ser>
        <c:ser>
          <c:idx val="1"/>
          <c:order val="1"/>
          <c:tx>
            <c:v>Grazing Footprint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pivot_tables!$A$22:$A$26</c:f>
            </c:strRef>
          </c:cat>
          <c:val>
            <c:numRef>
              <c:f>pivot_tables!$C$22:$C$26</c:f>
              <c:numCache/>
            </c:numRef>
          </c:val>
        </c:ser>
        <c:ser>
          <c:idx val="2"/>
          <c:order val="2"/>
          <c:tx>
            <c:v>Forest Footprint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pivot_tables!$A$22:$A$26</c:f>
            </c:strRef>
          </c:cat>
          <c:val>
            <c:numRef>
              <c:f>pivot_tables!$D$22:$D$26</c:f>
              <c:numCache/>
            </c:numRef>
          </c:val>
        </c:ser>
        <c:ser>
          <c:idx val="3"/>
          <c:order val="3"/>
          <c:tx>
            <c:v>Carbon Footprint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pivot_tables!$A$22:$A$26</c:f>
            </c:strRef>
          </c:cat>
          <c:val>
            <c:numRef>
              <c:f>pivot_tables!$E$22:$E$26</c:f>
              <c:numCache/>
            </c:numRef>
          </c:val>
        </c:ser>
        <c:ser>
          <c:idx val="4"/>
          <c:order val="4"/>
          <c:tx>
            <c:v>Fish Footprint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pivot_tables!$A$22:$A$26</c:f>
            </c:strRef>
          </c:cat>
          <c:val>
            <c:numRef>
              <c:f>pivot_tables!$F$22:$F$26</c:f>
              <c:numCache/>
            </c:numRef>
          </c:val>
        </c:ser>
        <c:overlap val="100"/>
        <c:axId val="1941278896"/>
        <c:axId val="1380695976"/>
      </c:barChart>
      <c:catAx>
        <c:axId val="194127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Development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695976"/>
      </c:catAx>
      <c:valAx>
        <c:axId val="1380695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278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0</xdr:row>
      <xdr:rowOff>142875</xdr:rowOff>
    </xdr:from>
    <xdr:ext cx="4724400" cy="287655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57150</xdr:colOff>
      <xdr:row>16</xdr:row>
      <xdr:rowOff>104775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57150</xdr:colOff>
      <xdr:row>35</xdr:row>
      <xdr:rowOff>114300</xdr:rowOff>
    </xdr:from>
    <xdr:ext cx="57150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57150</xdr:colOff>
      <xdr:row>54</xdr:row>
      <xdr:rowOff>57150</xdr:rowOff>
    </xdr:from>
    <xdr:ext cx="1123950" cy="1114425"/>
    <xdr:pic>
      <xdr:nvPicPr>
        <xdr:cNvPr id="381148430" name="Chart4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54</xdr:row>
      <xdr:rowOff>57150</xdr:rowOff>
    </xdr:from>
    <xdr:ext cx="1123950" cy="1114425"/>
    <xdr:pic>
      <xdr:nvPicPr>
        <xdr:cNvPr id="1952128377" name="Chart5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54</xdr:row>
      <xdr:rowOff>85725</xdr:rowOff>
    </xdr:from>
    <xdr:ext cx="1123950" cy="1085850"/>
    <xdr:pic>
      <xdr:nvPicPr>
        <xdr:cNvPr id="2004722401" name="Chart6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733425</xdr:colOff>
      <xdr:row>3</xdr:row>
      <xdr:rowOff>171450</xdr:rowOff>
    </xdr:from>
    <xdr:ext cx="2886075" cy="1114425"/>
    <xdr:pic>
      <xdr:nvPicPr>
        <xdr:cNvPr id="292525785" name="Chart7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3</xdr:row>
      <xdr:rowOff>161925</xdr:rowOff>
    </xdr:from>
    <xdr:ext cx="2886075" cy="1114425"/>
    <xdr:pic>
      <xdr:nvPicPr>
        <xdr:cNvPr id="1694813695" name="Chart8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3</xdr:row>
      <xdr:rowOff>161925</xdr:rowOff>
    </xdr:from>
    <xdr:ext cx="2886075" cy="1114425"/>
    <xdr:pic>
      <xdr:nvPicPr>
        <xdr:cNvPr id="698912625" name="Chart9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10</xdr:row>
      <xdr:rowOff>9525</xdr:rowOff>
    </xdr:from>
    <xdr:ext cx="4486275" cy="3533775"/>
    <xdr:graphicFrame>
      <xdr:nvGraphicFramePr>
        <xdr:cNvPr id="10" name="Chart 1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219075</xdr:colOff>
      <xdr:row>28</xdr:row>
      <xdr:rowOff>180975</xdr:rowOff>
    </xdr:from>
    <xdr:ext cx="9191625" cy="2686050"/>
    <xdr:graphicFrame>
      <xdr:nvGraphicFramePr>
        <xdr:cNvPr id="11" name="Chart 1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95250</xdr:colOff>
      <xdr:row>10</xdr:row>
      <xdr:rowOff>9525</xdr:rowOff>
    </xdr:from>
    <xdr:ext cx="4486275" cy="3533775"/>
    <xdr:graphicFrame>
      <xdr:nvGraphicFramePr>
        <xdr:cNvPr id="12" name="Chart 1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45" sheet="countries_cleaned"/>
  </cacheSource>
  <cacheFields>
    <cacheField name="Country" numFmtId="0">
      <sharedItems containsBlank="1">
        <s v="Afghanistan"/>
        <s v="Albania"/>
        <s v="Algeria"/>
        <s v="Ango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nin"/>
        <s v="Bermuda"/>
        <s v="Bhutan"/>
        <s v="Bolivia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ile"/>
        <s v="China"/>
        <s v="Colombia"/>
        <s v="Comoros"/>
        <s v="Congo"/>
        <s v="Congo, Democratic Republic of"/>
        <s v="Costa Rica"/>
        <s v="Côte d'Ivoire"/>
        <s v="Croatia"/>
        <s v="Cuba"/>
        <s v="Cyprus"/>
        <s v="Czech Republic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French Guiana"/>
        <s v="French Polynesia"/>
        <s v="Gabon"/>
        <s v="Gambia"/>
        <s v="Georgia"/>
        <s v="Germany"/>
        <s v="Ghana"/>
        <s v="Greece"/>
        <s v="Grenada"/>
        <s v="Guadeloupe"/>
        <s v="Guatemala"/>
        <s v="Guinea"/>
        <s v="Guinea-Bissau"/>
        <s v="Guyana"/>
        <s v="Haiti"/>
        <s v="Honduras"/>
        <s v="Hungary"/>
        <s v="India"/>
        <s v="Indonesia"/>
        <s v="Iran, Islamic Republic of"/>
        <s v="Iraq"/>
        <s v="Ireland"/>
        <s v="Israel"/>
        <s v="Italy"/>
        <s v="Jamaica"/>
        <s v="Japan"/>
        <s v="Jordan"/>
        <s v="Kazakhstan"/>
        <s v="Kenya"/>
        <s v="Korea, Democratic People's Republic of"/>
        <s v="Korea, Republic of"/>
        <s v="Kuwait"/>
        <s v="Kyrgyzstan"/>
        <s v="Lao People's Democratic Republic"/>
        <s v="Latvia"/>
        <s v="Lebanon"/>
        <s v="Lesotho"/>
        <s v="Liberia"/>
        <s v="Libyan Arab Jamahiriya"/>
        <s v="Lithuania"/>
        <s v="Luxembourg"/>
        <s v="Macedonia TFYR"/>
        <s v="Madagascar"/>
        <s v="Malawi"/>
        <s v="Malaysia"/>
        <s v="Mali"/>
        <s v="Martinique"/>
        <s v="Mauritania"/>
        <s v="Mauritius"/>
        <s v="Mexico"/>
        <s v="Moldova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éunion"/>
        <s v="Romania"/>
        <s v="Russian Federation"/>
        <s v="Rwanda"/>
        <s v="Saint Kitts and Nevis"/>
        <s v="Saint Lucia"/>
        <s v="Saint Vincent and Grenadines"/>
        <s v="Samoa"/>
        <s v="Sao Tome and Principe"/>
        <s v="Saudi Arabia"/>
        <s v="Senegal"/>
        <s v="Serbia"/>
        <s v="Sierra Leone"/>
        <s v="Singapore"/>
        <s v="Slovakia"/>
        <s v="Slovenia"/>
        <s v="Solomon Islands"/>
        <s v="Somalia"/>
        <s v="South Africa"/>
        <s v="Spain"/>
        <s v="Sri Lanka"/>
        <s v="Suriname"/>
        <s v="Swaziland"/>
        <s v="Sweden"/>
        <s v="Switzerland"/>
        <s v="Syrian Arab Republic"/>
        <s v="Tajikistan"/>
        <s v="Tanzania, United Republic of"/>
        <s v="Thailand"/>
        <s v="Timor-Leste"/>
        <s v="Togo"/>
        <s v="Tonga"/>
        <s v="Trinidad and Tobago"/>
        <s v="Tunisia"/>
        <s v="Turkey"/>
        <s v="Turkmenistan"/>
        <s v="Uganda"/>
        <s v="Ukraine"/>
        <s v="United Kingdom"/>
        <s v="United Arab Emirates"/>
        <s v="United States of America"/>
        <s v="Uruguay"/>
        <s v="Uzbekistan"/>
        <s v="Venezuela, Bolivarian Republic of"/>
        <s v="Viet Nam"/>
        <s v="Wallis and Futuna Islands"/>
        <s v="Yemen"/>
        <s v="Zambia"/>
        <s v="Zimbabwe"/>
        <m/>
      </sharedItems>
    </cacheField>
    <cacheField name="Region" numFmtId="0">
      <sharedItems containsBlank="1">
        <s v="Middle East/Central Asia"/>
        <s v="Northern/Eastern Europe"/>
        <s v="Africa"/>
        <s v="Latin America"/>
        <s v="Asia-Pacific"/>
        <s v="European Union"/>
        <s v="North America"/>
        <m/>
      </sharedItems>
    </cacheField>
    <cacheField name="Population (millions)" numFmtId="0">
      <sharedItems containsString="0" containsBlank="1" containsNumber="1">
        <n v="29.82"/>
        <n v="3.16"/>
        <n v="38.48"/>
        <n v="20.82"/>
        <n v="0.09"/>
        <n v="41.09"/>
        <n v="2.97"/>
        <n v="0.1"/>
        <n v="23.05"/>
        <n v="8.46"/>
        <n v="9.31"/>
        <n v="0.37"/>
        <n v="1.32"/>
        <n v="154.7"/>
        <n v="0.28"/>
        <n v="9.4"/>
        <n v="11.06"/>
        <n v="10.05"/>
        <n v="0.06"/>
        <n v="0.74"/>
        <n v="10.5"/>
        <n v="3.83"/>
        <n v="2.0"/>
        <n v="198.66"/>
        <n v="0.03"/>
        <n v="0.41"/>
        <n v="7.28"/>
        <n v="16.46"/>
        <n v="9.85"/>
        <n v="0.49"/>
        <n v="14.86"/>
        <n v="21.7"/>
        <n v="34.84"/>
        <n v="4.53"/>
        <n v="12.45"/>
        <n v="17.46"/>
        <n v="1408.04"/>
        <n v="47.7"/>
        <n v="0.72"/>
        <n v="4.34"/>
        <n v="65.7"/>
        <n v="4.8"/>
        <n v="19.84"/>
        <n v="4.31"/>
        <n v="11.27"/>
        <n v="1.13"/>
        <n v="10.66"/>
        <n v="5.6"/>
        <n v="0.86"/>
        <n v="0.07"/>
        <n v="10.28"/>
        <n v="15.49"/>
        <n v="80.72"/>
        <n v="6.3"/>
        <n v="6.13"/>
        <n v="1.29"/>
        <n v="91.73"/>
        <n v="0.88"/>
        <n v="5.41"/>
        <n v="63.98"/>
        <n v="0.24"/>
        <n v="0.27"/>
        <n v="1.63"/>
        <n v="1.79"/>
        <n v="4.36"/>
        <n v="82.8"/>
        <n v="25.37"/>
        <n v="11.12"/>
        <n v="0.46"/>
        <n v="15.08"/>
        <n v="11.45"/>
        <n v="1.66"/>
        <n v="0.8"/>
        <n v="10.17"/>
        <n v="7.94"/>
        <n v="9.98"/>
        <n v="1236.69"/>
        <n v="246.86"/>
        <n v="76.42"/>
        <n v="32.78"/>
        <n v="4.58"/>
        <n v="7.64"/>
        <n v="60.92"/>
        <n v="2.77"/>
        <n v="127.25"/>
        <n v="7.01"/>
        <n v="16.27"/>
        <n v="43.18"/>
        <n v="24.76"/>
        <n v="49.0"/>
        <n v="3.25"/>
        <n v="5.47"/>
        <n v="6.65"/>
        <n v="2.06"/>
        <n v="4.65"/>
        <n v="2.05"/>
        <n v="4.19"/>
        <n v="6.16"/>
        <n v="3.03"/>
        <n v="0.52"/>
        <n v="2.11"/>
        <n v="22.29"/>
        <n v="15.91"/>
        <n v="29.24"/>
        <n v="14.85"/>
        <n v="0.4"/>
        <n v="3.8"/>
        <n v="1.24"/>
        <n v="120.85"/>
        <n v="3.51"/>
        <n v="2.8"/>
        <n v="0.62"/>
        <n v="0.0"/>
        <n v="32.52"/>
        <n v="25.2"/>
        <n v="52.8"/>
        <n v="2.26"/>
        <n v="0.01"/>
        <n v="27.47"/>
        <n v="16.71"/>
        <n v="0.25"/>
        <n v="4.46"/>
        <n v="5.99"/>
        <n v="17.16"/>
        <n v="168.83"/>
        <n v="4.99"/>
        <n v="3.31"/>
        <n v="179.16"/>
        <n v="7.17"/>
        <n v="6.69"/>
        <n v="29.99"/>
        <n v="96.71"/>
        <n v="38.21"/>
        <n v="10.6"/>
        <n v="21.76"/>
        <n v="143.17"/>
        <n v="11.46"/>
        <n v="0.05"/>
        <n v="0.18"/>
        <n v="0.11"/>
        <n v="0.19"/>
        <n v="28.29"/>
        <n v="13.73"/>
        <n v="9.55"/>
        <n v="5.98"/>
        <n v="5.3"/>
        <n v="5.45"/>
        <n v="2.07"/>
        <n v="0.55"/>
        <n v="10.2"/>
        <n v="52.39"/>
        <n v="46.76"/>
        <n v="21.1"/>
        <n v="0.54"/>
        <n v="1.23"/>
        <n v="9.51"/>
        <n v="8.0"/>
        <n v="21.89"/>
        <n v="8.01"/>
        <n v="47.78"/>
        <n v="66.78"/>
        <n v="1.11"/>
        <n v="6.64"/>
        <n v="1.34"/>
        <n v="10.88"/>
        <n v="74.0"/>
        <n v="5.17"/>
        <n v="36.35"/>
        <n v="45.53"/>
        <n v="63.03"/>
        <n v="9.206"/>
        <n v="317.5"/>
        <n v="3.4"/>
        <n v="28.54"/>
        <n v="29.96"/>
        <n v="90.8"/>
        <n v="23.85"/>
        <n v="14.08"/>
        <n v="13.72"/>
        <m/>
      </sharedItems>
    </cacheField>
    <cacheField name="HDI (as number)">
      <sharedItems containsBlank="1" containsMixedTypes="1" containsNumber="1">
        <n v="0.46"/>
        <n v="0.73"/>
        <n v="0.52"/>
        <n v="0.78"/>
        <n v="0.83"/>
        <s v=""/>
        <n v="0.93"/>
        <n v="0.88"/>
        <n v="0.75"/>
        <n v="0.82"/>
        <n v="0.56"/>
        <n v="0.79"/>
        <n v="0.8"/>
        <n v="0.89"/>
        <n v="0.48"/>
        <n v="0.59"/>
        <n v="0.65"/>
        <n v="0.69"/>
        <n v="0.85"/>
        <n v="0.39"/>
        <n v="0.64"/>
        <n v="0.55"/>
        <n v="0.5"/>
        <n v="0.91"/>
        <n v="0.37"/>
        <n v="0.72"/>
        <n v="0.57"/>
        <n v="0.42"/>
        <n v="0.76"/>
        <n v="0.77"/>
        <n v="0.87"/>
        <n v="0.92"/>
        <n v="0.71"/>
        <n v="0.66"/>
        <n v="0.58"/>
        <n v="0.43"/>
        <n v="0.67"/>
        <n v="0.44"/>
        <n v="0.86"/>
        <n v="0.74"/>
        <n v="0.62"/>
        <n v="0.41"/>
        <n v="0.63"/>
        <n v="0.61"/>
        <n v="0.6"/>
        <n v="0.68"/>
        <n v="0.54"/>
        <n v="0.81"/>
        <n v="0.51"/>
        <n v="0.53"/>
        <n v="0.34"/>
        <n v="0.94"/>
        <n v="0.84"/>
        <n v="0.7"/>
        <n v="0.4"/>
        <n v="0.9"/>
        <n v="0.47"/>
        <n v="0.763846"/>
        <n v="0.49"/>
        <m/>
      </sharedItems>
    </cacheField>
    <cacheField name="Development Tier" numFmtId="0">
      <sharedItems containsBlank="1">
        <s v="Low"/>
        <s v="High"/>
        <s v="Very High"/>
        <s v="Unknown"/>
        <s v="Medium"/>
        <m/>
      </sharedItems>
    </cacheField>
    <cacheField name="GDP per Capita">
      <sharedItems containsBlank="1" containsMixedTypes="1" containsNumber="1">
        <n v="614.66"/>
        <n v="4534.37"/>
        <n v="5430.57"/>
        <n v="4665.91"/>
        <n v="13205.1"/>
        <n v="13540.0"/>
        <n v="3426.39"/>
        <s v=""/>
        <n v="66604.2"/>
        <n v="51274.1"/>
        <n v="7106.04"/>
        <n v="22647.3"/>
        <n v="24299.0"/>
        <n v="857.5"/>
        <n v="15722.8"/>
        <n v="6300.45"/>
        <n v="48053.3"/>
        <n v="746.83"/>
        <n v="70626.3"/>
        <n v="2395.0"/>
        <n v="2253.09"/>
        <n v="4708.85"/>
        <n v="7743.5"/>
        <n v="13237.6"/>
        <n v="47097.4"/>
        <n v="7615.28"/>
        <n v="671.07"/>
        <n v="276.69"/>
        <n v="3801.45"/>
        <n v="877.64"/>
        <n v="1271.21"/>
        <n v="52145.4"/>
        <n v="495.04"/>
        <n v="1161.22"/>
        <n v="14525.8"/>
        <n v="5560.94"/>
        <n v="7305.22"/>
        <n v="860.24"/>
        <n v="1943.69"/>
        <n v="338.63"/>
        <n v="8979.96"/>
        <n v="1016.83"/>
        <n v="14522.8"/>
        <n v="5175.94"/>
        <n v="31454.7"/>
        <n v="21676.3"/>
        <n v="61413.6"/>
        <n v="1433.17"/>
        <n v="7088.01"/>
        <n v="6085.89"/>
        <n v="5192.88"/>
        <n v="2930.33"/>
        <n v="3696.33"/>
        <n v="24064.0"/>
        <n v="439.73"/>
        <n v="17304.4"/>
        <n v="379.38"/>
        <n v="4201.37"/>
        <n v="50960.2"/>
        <n v="45430.3"/>
        <n v="11989.0"/>
        <n v="505.76"/>
        <n v="3710.7"/>
        <n v="46822.4"/>
        <n v="1627.9"/>
        <n v="25987.4"/>
        <n v="7410.48"/>
        <n v="3233.8"/>
        <n v="459.09"/>
        <n v="681.25"/>
        <n v="3269.46"/>
        <n v="749.13"/>
        <n v="2269.51"/>
        <n v="13964.2"/>
        <n v="1513.85"/>
        <n v="3688.53"/>
        <n v="7511.1"/>
        <n v="5848.54"/>
        <n v="52853.6"/>
        <n v="33718.9"/>
        <n v="38412.0"/>
        <n v="5226.3"/>
        <n v="46201.6"/>
        <n v="4615.17"/>
        <n v="11278.0"/>
        <n v="1062.11"/>
        <n v="24155.8"/>
        <n v="41830.5"/>
        <n v="1116.37"/>
        <n v="1236.24"/>
        <n v="13732.0"/>
        <n v="9143.86"/>
        <n v="1338.42"/>
        <n v="397.38"/>
        <n v="5859.43"/>
        <n v="14373.7"/>
        <n v="114665.0"/>
        <n v="5174.89"/>
        <n v="456.33"/>
        <n v="493.84"/>
        <n v="10252.6"/>
        <n v="741.22"/>
        <n v="1524.39"/>
        <n v="8811.15"/>
        <n v="10123.9"/>
        <n v="1971.03"/>
        <n v="3736.07"/>
        <n v="7251.6"/>
        <n v="3149.43"/>
        <n v="538.82"/>
        <n v="1117.58"/>
        <n v="5880.8"/>
        <n v="700.07"/>
        <n v="53589.9"/>
        <n v="37488.3"/>
        <n v="1626.85"/>
        <n v="410.91"/>
        <n v="2612.12"/>
        <n v="100172.0"/>
        <n v="22622.8"/>
        <n v="1218.6"/>
        <n v="8410.77"/>
        <n v="1871.21"/>
        <n v="3557.31"/>
        <n v="5684.73"/>
        <n v="2379.44"/>
        <n v="13769.5"/>
        <n v="23217.3"/>
        <n v="99431.5"/>
        <n v="9213.94"/>
        <n v="13320.2"/>
        <n v="628.08"/>
        <n v="12952.5"/>
        <n v="7737.2"/>
        <n v="6171.48"/>
        <n v="4067.15"/>
        <n v="1384.53"/>
        <n v="23593.8"/>
        <n v="1079.27"/>
        <n v="6426.18"/>
        <n v="499.89"/>
        <n v="53122.4"/>
        <n v="18103.1"/>
        <n v="25040.5"/>
        <n v="1647.86"/>
        <n v="8089.87"/>
        <n v="32008.7"/>
        <n v="2880.03"/>
        <n v="8190.7"/>
        <n v="4657.48"/>
        <n v="59381.9"/>
        <n v="88506.2"/>
        <n v="836.17"/>
        <n v="765.33"/>
        <n v="5479.29"/>
        <n v="5167.86"/>
        <n v="580.86"/>
        <n v="4330.9"/>
        <n v="18310.8"/>
        <n v="4305.07"/>
        <n v="10437.7"/>
        <n v="5290.14"/>
        <n v="601.35"/>
        <n v="3589.63"/>
        <n v="40980.5"/>
        <n v="40817.4"/>
        <n v="49725.0"/>
        <n v="14238.1"/>
        <n v="1560.85"/>
        <n v="10237.8"/>
        <n v="1532.31"/>
        <n v="1302.3"/>
        <n v="1740.64"/>
        <n v="865.91"/>
        <m/>
      </sharedItems>
    </cacheField>
    <cacheField name="Cropland Footprint">
      <sharedItems containsBlank="1" containsMixedTypes="1" containsNumber="1">
        <n v="0.3"/>
        <n v="0.78"/>
        <n v="0.6"/>
        <n v="0.33"/>
        <s v=""/>
        <n v="0.74"/>
        <n v="2.68"/>
        <n v="0.82"/>
        <n v="0.66"/>
        <n v="0.97"/>
        <n v="0.52"/>
        <n v="0.29"/>
        <n v="0.56"/>
        <n v="1.32"/>
        <n v="1.15"/>
        <n v="0.49"/>
        <n v="0.5"/>
        <n v="0.37"/>
        <n v="0.63"/>
        <n v="0.62"/>
        <n v="0.31"/>
        <n v="0.47"/>
        <n v="0.21"/>
        <n v="0.54"/>
        <n v="1.46"/>
        <n v="0.36"/>
        <n v="0.61"/>
        <n v="0.55"/>
        <n v="0.35"/>
        <n v="0.22"/>
        <n v="0.15"/>
        <n v="0.4"/>
        <n v="0.51"/>
        <n v="0.48"/>
        <n v="0.77"/>
        <n v="1.18"/>
        <n v="0.64"/>
        <n v="0.68"/>
        <n v="0.44"/>
        <n v="0.27"/>
        <n v="0.1"/>
        <n v="1.23"/>
        <n v="0.07"/>
        <n v="0.75"/>
        <n v="0.53"/>
        <n v="0.46"/>
        <n v="0.39"/>
        <n v="1.1"/>
        <n v="1.07"/>
        <n v="0.11"/>
        <n v="0.7"/>
        <n v="0.28"/>
        <n v="0.42"/>
        <n v="0.34"/>
        <n v="0.69"/>
        <n v="0.43"/>
        <n v="1.08"/>
        <n v="0.89"/>
        <n v="0.91"/>
        <n v="0.41"/>
        <n v="0.58"/>
        <n v="0.25"/>
        <n v="0.71"/>
        <n v="0.59"/>
        <n v="0.57"/>
        <n v="2.28"/>
        <n v="0.67"/>
        <n v="0.23"/>
        <n v="0.79"/>
        <n v="1.89"/>
        <n v="0.13"/>
        <n v="0.8"/>
        <n v="0.76"/>
        <n v="1.11"/>
        <n v="0.84"/>
        <n v="1.03"/>
        <n v="0.14"/>
        <n v="0.72"/>
        <n v="0.38"/>
        <n v="0.16"/>
        <n v="1.47"/>
        <n v="1.19"/>
        <n v="0.87"/>
        <n v="0.73"/>
        <n v="1.13"/>
        <n v="0.19"/>
        <n v="0.45"/>
        <n v="0.2"/>
        <m/>
      </sharedItems>
    </cacheField>
    <cacheField name="Grazing Footprint">
      <sharedItems containsBlank="1" containsMixedTypes="1" containsNumber="1">
        <n v="0.2"/>
        <n v="0.22"/>
        <n v="0.16"/>
        <n v="0.15"/>
        <s v=""/>
        <n v="0.79"/>
        <n v="0.18"/>
        <n v="0.63"/>
        <n v="0.27"/>
        <n v="1.05"/>
        <n v="0.45"/>
        <n v="0.0"/>
        <n v="0.24"/>
        <n v="0.12"/>
        <n v="0.48"/>
        <n v="0.04"/>
        <n v="0.42"/>
        <n v="1.69"/>
        <n v="0.89"/>
        <n v="0.85"/>
        <n v="0.13"/>
        <n v="0.17"/>
        <n v="0.07"/>
        <n v="0.1"/>
        <n v="0.33"/>
        <n v="0.55"/>
        <n v="0.75"/>
        <n v="0.58"/>
        <n v="0.03"/>
        <n v="0.09"/>
        <n v="0.01"/>
        <n v="0.21"/>
        <n v="0.06"/>
        <n v="0.11"/>
        <n v="0.08"/>
        <n v="0.47"/>
        <n v="0.3"/>
        <n v="0.02"/>
        <n v="0.65"/>
        <n v="0.05"/>
        <n v="0.14"/>
        <n v="0.35"/>
        <n v="0.32"/>
        <n v="0.36"/>
        <n v="0.25"/>
        <n v="0.49"/>
        <n v="0.19"/>
        <n v="0.23"/>
        <n v="0.76"/>
        <n v="0.34"/>
        <n v="0.66"/>
        <n v="1.2"/>
        <n v="3.47"/>
        <n v="0.62"/>
        <n v="0.4"/>
        <n v="1.1"/>
        <n v="0.51"/>
        <n v="0.43"/>
        <n v="0.41"/>
        <n v="0.44"/>
        <n v="0.28"/>
        <n v="0.98"/>
        <n v="0.74"/>
        <m/>
      </sharedItems>
    </cacheField>
    <cacheField name="Forest Footprint">
      <sharedItems containsBlank="1" containsMixedTypes="1" containsNumber="1">
        <n v="0.08"/>
        <n v="0.25"/>
        <n v="0.17"/>
        <n v="0.12"/>
        <s v=""/>
        <n v="0.29"/>
        <n v="0.34"/>
        <n v="0.89"/>
        <n v="0.63"/>
        <n v="0.11"/>
        <n v="0.19"/>
        <n v="0.16"/>
        <n v="0.14"/>
        <n v="0.91"/>
        <n v="0.99"/>
        <n v="0.26"/>
        <n v="3.03"/>
        <n v="0.44"/>
        <n v="0.24"/>
        <n v="0.6"/>
        <n v="0.35"/>
        <n v="0.36"/>
        <n v="0.45"/>
        <n v="0.21"/>
        <n v="1.2"/>
        <n v="1.23"/>
        <n v="0.27"/>
        <n v="0.18"/>
        <n v="0.38"/>
        <n v="0.51"/>
        <n v="0.68"/>
        <n v="0.22"/>
        <n v="0.72"/>
        <n v="0.09"/>
        <n v="0.23"/>
        <n v="0.74"/>
        <n v="0.77"/>
        <n v="0.4"/>
        <n v="0.06"/>
        <n v="0.46"/>
        <n v="0.42"/>
        <n v="0.53"/>
        <n v="0.79"/>
        <n v="0.2"/>
        <n v="0.1"/>
        <n v="0.48"/>
        <n v="0.65"/>
        <n v="0.58"/>
        <n v="0.67"/>
        <n v="0.5"/>
        <n v="0.07"/>
        <n v="0.01"/>
        <n v="2.02"/>
        <n v="0.75"/>
        <n v="1.28"/>
        <n v="1.03"/>
        <n v="0.31"/>
        <n v="0.15"/>
        <n v="0.62"/>
        <n v="0.32"/>
        <n v="1.08"/>
        <n v="0.83"/>
        <n v="0.78"/>
        <n v="0.33"/>
        <n v="0.52"/>
        <n v="1.3"/>
        <n v="0.04"/>
        <n v="0.28"/>
        <n v="0.54"/>
        <n v="0.55"/>
        <m/>
      </sharedItems>
    </cacheField>
    <cacheField name="Carbon Footprint">
      <sharedItems containsBlank="1" containsMixedTypes="1" containsNumber="1">
        <n v="0.18"/>
        <n v="0.87"/>
        <n v="1.14"/>
        <n v="0.2"/>
        <s v=""/>
        <n v="1.08"/>
        <n v="0.89"/>
        <n v="4.85"/>
        <n v="4.14"/>
        <n v="1.25"/>
        <n v="4.46"/>
        <n v="6.19"/>
        <n v="0.26"/>
        <n v="3.28"/>
        <n v="2.57"/>
        <n v="4.43"/>
        <n v="0.51"/>
        <n v="0.63"/>
        <n v="0.67"/>
        <n v="1.74"/>
        <n v="2.36"/>
        <n v="0.91"/>
        <n v="3.24"/>
        <n v="2.08"/>
        <n v="0.12"/>
        <n v="0.04"/>
        <n v="0.19"/>
        <n v="5.0"/>
        <n v="3.56"/>
        <n v="0.08"/>
        <n v="0.01"/>
        <n v="2.04"/>
        <n v="2.32"/>
        <n v="0.25"/>
        <n v="0.47"/>
        <n v="0.07"/>
        <n v="1.37"/>
        <n v="2.21"/>
        <n v="1.23"/>
        <n v="2.94"/>
        <n v="3.42"/>
        <n v="2.6"/>
        <n v="1.47"/>
        <n v="0.86"/>
        <n v="1.02"/>
        <n v="0.84"/>
        <n v="3.17"/>
        <n v="0.03"/>
        <n v="1.06"/>
        <n v="2.71"/>
        <n v="1.58"/>
        <n v="2.39"/>
        <n v="0.43"/>
        <n v="0.21"/>
        <n v="0.83"/>
        <n v="2.58"/>
        <n v="2.61"/>
        <n v="0.7"/>
        <n v="0.16"/>
        <n v="0.09"/>
        <n v="0.15"/>
        <n v="0.6"/>
        <n v="1.9"/>
        <n v="0.61"/>
        <n v="0.64"/>
        <n v="1.72"/>
        <n v="1.36"/>
        <n v="3.22"/>
        <n v="4.59"/>
        <n v="2.77"/>
        <n v="1.09"/>
        <n v="3.69"/>
        <n v="0.68"/>
        <n v="4.17"/>
        <n v="6.89"/>
        <n v="0.95"/>
        <n v="1.66"/>
        <n v="2.52"/>
        <n v="0.14"/>
        <n v="2.33"/>
        <n v="2.15"/>
        <n v="12.65"/>
        <n v="2.06"/>
        <n v="2.1"/>
        <n v="0.1"/>
        <n v="1.73"/>
        <n v="0.55"/>
        <n v="1.99"/>
        <n v="1.03"/>
        <n v="2.09"/>
        <n v="2.13"/>
        <n v="0.17"/>
        <n v="3.23"/>
        <n v="1.78"/>
        <n v="2.84"/>
        <n v="0.45"/>
        <n v="5.8"/>
        <n v="0.38"/>
        <n v="1.44"/>
        <n v="0.35"/>
        <n v="0.97"/>
        <n v="0.34"/>
        <n v="2.64"/>
        <n v="9.57"/>
        <n v="3.27"/>
        <n v="1.46"/>
        <n v="3.87"/>
        <n v="3.34"/>
        <n v="1.56"/>
        <n v="0.96"/>
        <n v="0.37"/>
        <n v="4.21"/>
        <n v="0.3"/>
        <n v="5.91"/>
        <n v="2.82"/>
        <n v="4.27"/>
        <n v="0.0"/>
        <n v="2.34"/>
        <n v="2.22"/>
        <n v="0.52"/>
        <n v="3.01"/>
        <n v="3.88"/>
        <n v="4.26"/>
        <n v="0.81"/>
        <n v="0.13"/>
        <n v="1.54"/>
        <n v="0.06"/>
        <n v="0.31"/>
        <n v="0.88"/>
        <n v="1.11"/>
        <n v="1.92"/>
        <n v="4.13"/>
        <n v="3.14"/>
        <n v="6.37"/>
        <n v="5.9"/>
        <n v="0.98"/>
        <n v="1.41"/>
        <n v="0.79"/>
        <n v="0.42"/>
        <n v="0.24"/>
        <n v="0.53"/>
        <m/>
      </sharedItems>
    </cacheField>
    <cacheField name="Fish Footprint">
      <sharedItems containsBlank="1" containsMixedTypes="1" containsNumber="1">
        <n v="0.0"/>
        <n v="0.02"/>
        <n v="0.01"/>
        <n v="0.09"/>
        <s v=""/>
        <n v="0.1"/>
        <n v="0.11"/>
        <n v="0.06"/>
        <n v="0.14"/>
        <n v="0.07"/>
        <n v="0.22"/>
        <n v="0.08"/>
        <n v="0.12"/>
        <n v="0.04"/>
        <n v="0.03"/>
        <n v="0.05"/>
        <n v="0.25"/>
        <n v="0.24"/>
        <n v="0.17"/>
        <n v="0.18"/>
        <n v="0.62"/>
        <n v="0.19"/>
        <n v="0.82"/>
        <n v="0.31"/>
        <n v="0.21"/>
        <n v="0.33"/>
        <n v="0.41"/>
        <n v="0.16"/>
        <n v="0.13"/>
        <n v="0.36"/>
        <n v="0.15"/>
        <n v="0.55"/>
        <n v="0.72"/>
        <n v="0.32"/>
        <n v="0.7"/>
        <n v="0.4"/>
        <n v="0.37"/>
        <n v="0.73"/>
        <n v="0.23"/>
        <n v="0.81"/>
        <n v="0.42"/>
        <n v="0.47"/>
        <n v="0.46"/>
        <n v="0.27"/>
        <m/>
      </sharedItems>
    </cacheField>
    <cacheField name="Total Ecological Footprint" numFmtId="0">
      <sharedItems containsString="0" containsBlank="1" containsNumber="1">
        <n v="0.79"/>
        <n v="2.21"/>
        <n v="2.12"/>
        <n v="0.93"/>
        <n v="5.38"/>
        <n v="3.14"/>
        <n v="2.23"/>
        <n v="11.88"/>
        <n v="9.31"/>
        <n v="6.06"/>
        <n v="2.31"/>
        <n v="6.84"/>
        <n v="7.49"/>
        <n v="0.72"/>
        <n v="4.48"/>
        <n v="5.09"/>
        <n v="7.44"/>
        <n v="1.41"/>
        <n v="5.77"/>
        <n v="4.84"/>
        <n v="2.96"/>
        <n v="3.12"/>
        <n v="3.83"/>
        <n v="3.11"/>
        <n v="2.86"/>
        <n v="4.06"/>
        <n v="3.32"/>
        <n v="1.21"/>
        <n v="0.8"/>
        <n v="2.52"/>
        <n v="1.17"/>
        <n v="8.17"/>
        <n v="5.65"/>
        <n v="1.24"/>
        <n v="1.46"/>
        <n v="4.36"/>
        <n v="3.38"/>
        <n v="1.87"/>
        <n v="1.03"/>
        <n v="1.29"/>
        <n v="0.82"/>
        <n v="2.84"/>
        <n v="1.27"/>
        <n v="3.92"/>
        <n v="1.95"/>
        <n v="4.21"/>
        <n v="5.19"/>
        <n v="5.51"/>
        <n v="2.19"/>
        <n v="2.57"/>
        <n v="1.53"/>
        <n v="2.17"/>
        <n v="2.15"/>
        <n v="2.07"/>
        <n v="3.97"/>
        <n v="0.42"/>
        <n v="6.86"/>
        <n v="1.02"/>
        <n v="2.9"/>
        <n v="5.87"/>
        <n v="5.14"/>
        <n v="2.34"/>
        <n v="4.73"/>
        <n v="2.02"/>
        <n v="1.58"/>
        <n v="5.3"/>
        <n v="1.97"/>
        <n v="4.38"/>
        <n v="2.98"/>
        <n v="3.23"/>
        <n v="1.89"/>
        <n v="3.07"/>
        <n v="0.61"/>
        <n v="1.68"/>
        <n v="2.92"/>
        <n v="1.16"/>
        <n v="2.79"/>
        <n v="1.88"/>
        <n v="5.57"/>
        <n v="6.22"/>
        <n v="4.61"/>
        <n v="5.02"/>
        <n v="2.1"/>
        <n v="5.55"/>
        <n v="5.69"/>
        <n v="8.13"/>
        <n v="1.91"/>
        <n v="1.22"/>
        <n v="6.29"/>
        <n v="3.84"/>
        <n v="1.66"/>
        <n v="3.69"/>
        <n v="5.83"/>
        <n v="15.82"/>
        <n v="3.26"/>
        <n v="0.99"/>
        <n v="0.81"/>
        <n v="3.71"/>
        <n v="2.08"/>
        <n v="2.54"/>
        <n v="3.46"/>
        <n v="2.89"/>
        <n v="1.78"/>
        <n v="6.08"/>
        <n v="3.78"/>
        <n v="7.78"/>
        <n v="0.87"/>
        <n v="1.43"/>
        <n v="2.48"/>
        <n v="2.94"/>
        <n v="0.98"/>
        <n v="5.28"/>
        <n v="3.58"/>
        <n v="5.6"/>
        <n v="1.39"/>
        <n v="1.56"/>
        <n v="4.98"/>
        <n v="7.52"/>
        <n v="4.16"/>
        <n v="2.28"/>
        <n v="1.1"/>
        <n v="4.44"/>
        <n v="3.88"/>
        <n v="10.8"/>
        <n v="3.65"/>
        <n v="2.71"/>
        <n v="4.94"/>
        <n v="2.45"/>
        <n v="2.77"/>
        <n v="1.49"/>
        <n v="5.61"/>
        <n v="2.7"/>
        <n v="7.97"/>
        <n v="5.81"/>
        <n v="3.31"/>
        <n v="3.67"/>
        <n v="1.32"/>
        <n v="4.25"/>
        <n v="2.01"/>
        <n v="7.25"/>
        <n v="5.79"/>
        <n v="1.51"/>
        <n v="0.91"/>
        <n v="2.66"/>
        <n v="0.48"/>
        <n v="1.13"/>
        <n v="7.92"/>
        <n v="3.33"/>
        <n v="5.47"/>
        <n v="7.93"/>
        <n v="8.22"/>
        <n v="2.91"/>
        <n v="2.32"/>
        <n v="3.57"/>
        <n v="1.65"/>
        <n v="1.37"/>
        <m/>
      </sharedItems>
    </cacheField>
    <cacheField name="Cropland">
      <sharedItems containsBlank="1" containsMixedTypes="1" containsNumber="1">
        <n v="0.24"/>
        <n v="0.55"/>
        <n v="0.2"/>
        <s v=""/>
        <n v="2.64"/>
        <n v="0.44"/>
        <n v="5.42"/>
        <n v="0.71"/>
        <n v="0.46"/>
        <n v="0.05"/>
        <n v="0.01"/>
        <n v="0.25"/>
        <n v="0.08"/>
        <n v="1.52"/>
        <n v="0.56"/>
        <n v="0.28"/>
        <n v="0.59"/>
        <n v="0.3"/>
        <n v="0.06"/>
        <n v="1.0"/>
        <n v="0.02"/>
        <n v="1.33"/>
        <n v="0.5"/>
        <n v="3.11"/>
        <n v="0.0"/>
        <n v="0.29"/>
        <n v="0.35"/>
        <n v="0.47"/>
        <n v="0.22"/>
        <n v="0.23"/>
        <n v="0.13"/>
        <n v="0.38"/>
        <n v="0.88"/>
        <n v="0.68"/>
        <n v="0.26"/>
        <n v="0.18"/>
        <n v="0.94"/>
        <n v="2.38"/>
        <n v="0.4"/>
        <n v="0.32"/>
        <n v="0.27"/>
        <n v="0.07"/>
        <n v="0.31"/>
        <n v="1.67"/>
        <n v="0.19"/>
        <n v="0.12"/>
        <n v="1.23"/>
        <n v="0.67"/>
        <n v="1.01"/>
        <n v="0.11"/>
        <n v="0.48"/>
        <n v="0.69"/>
        <n v="0.33"/>
        <n v="1.28"/>
        <n v="0.84"/>
        <n v="0.58"/>
        <n v="0.16"/>
        <n v="0.09"/>
        <n v="1.14"/>
        <n v="0.57"/>
        <n v="3.1"/>
        <n v="0.04"/>
        <n v="0.15"/>
        <n v="0.17"/>
        <n v="3.03"/>
        <n v="0.45"/>
        <n v="0.75"/>
        <n v="0.51"/>
        <n v="0.1"/>
        <n v="0.14"/>
        <n v="0.37"/>
        <n v="0.21"/>
        <n v="0.34"/>
        <n v="0.65"/>
        <n v="0.36"/>
        <n v="2.51"/>
        <n v="1.05"/>
        <n v="0.87"/>
        <n v="0.85"/>
        <n v="0.42"/>
        <n v="0.73"/>
        <n v="0.66"/>
        <n v="0.72"/>
        <n v="1.31"/>
        <n v="0.41"/>
        <n v="0.77"/>
        <n v="0.83"/>
        <n v="0.53"/>
        <n v="0.6"/>
        <n v="1.5"/>
        <n v="1.49"/>
        <n v="1.89"/>
        <m/>
      </sharedItems>
    </cacheField>
    <cacheField name="Grazing Land">
      <sharedItems containsBlank="1" containsMixedTypes="1" containsNumber="1">
        <n v="0.2"/>
        <n v="0.21"/>
        <n v="0.27"/>
        <n v="1.42"/>
        <s v=""/>
        <n v="1.86"/>
        <n v="0.26"/>
        <n v="5.81"/>
        <n v="0.16"/>
        <n v="0.0"/>
        <n v="0.3"/>
        <n v="0.03"/>
        <n v="0.04"/>
        <n v="0.34"/>
        <n v="2.18"/>
        <n v="0.19"/>
        <n v="2.49"/>
        <n v="1.0"/>
        <n v="0.01"/>
        <n v="0.08"/>
        <n v="0.17"/>
        <n v="0.07"/>
        <n v="0.1"/>
        <n v="0.29"/>
        <n v="0.02"/>
        <n v="0.57"/>
        <n v="1.15"/>
        <n v="0.45"/>
        <n v="1.13"/>
        <n v="3.06"/>
        <n v="0.32"/>
        <n v="0.09"/>
        <n v="0.11"/>
        <n v="0.15"/>
        <n v="0.18"/>
        <n v="0.12"/>
        <n v="0.06"/>
        <n v="3.6"/>
        <n v="0.36"/>
        <n v="0.14"/>
        <n v="0.75"/>
        <n v="1.51"/>
        <n v="0.76"/>
        <n v="1.93"/>
        <n v="0.24"/>
        <n v="0.63"/>
        <n v="0.13"/>
        <n v="0.31"/>
        <n v="0.74"/>
        <n v="0.61"/>
        <n v="0.23"/>
        <n v="1.3"/>
        <n v="0.71"/>
        <n v="2.91"/>
        <n v="8.23"/>
        <n v="0.22"/>
        <n v="0.96"/>
        <n v="1.6"/>
        <n v="0.05"/>
        <n v="2.7"/>
        <n v="0.58"/>
        <n v="0.51"/>
        <n v="0.43"/>
        <n v="2.28"/>
        <n v="0.35"/>
        <n v="0.56"/>
        <n v="1.96"/>
        <n v="0.28"/>
        <n v="4.86"/>
        <n v="0.94"/>
        <m/>
      </sharedItems>
    </cacheField>
    <cacheField name="Forest Land">
      <sharedItems containsBlank="1" containsMixedTypes="1" containsNumber="1">
        <n v="0.02"/>
        <n v="0.29"/>
        <n v="0.03"/>
        <n v="0.64"/>
        <s v=""/>
        <n v="0.66"/>
        <n v="0.1"/>
        <n v="2.01"/>
        <n v="2.04"/>
        <n v="0.11"/>
        <n v="1.18"/>
        <n v="0.0"/>
        <n v="1.71"/>
        <n v="0.28"/>
        <n v="0.34"/>
        <n v="4.38"/>
        <n v="13.86"/>
        <n v="1.13"/>
        <n v="0.63"/>
        <n v="6.82"/>
        <n v="1.57"/>
        <n v="1.2"/>
        <n v="0.25"/>
        <n v="0.01"/>
        <n v="0.92"/>
        <n v="9.12"/>
        <n v="0.19"/>
        <n v="6.98"/>
        <n v="0.41"/>
        <n v="2.19"/>
        <n v="0.22"/>
        <n v="2.09"/>
        <n v="7.33"/>
        <n v="2.52"/>
        <n v="0.48"/>
        <n v="1.55"/>
        <n v="0.23"/>
        <n v="0.06"/>
        <n v="1.31"/>
        <n v="0.52"/>
        <n v="0.16"/>
        <n v="1.41"/>
        <n v="0.04"/>
        <n v="3.1"/>
        <n v="0.09"/>
        <n v="0.05"/>
        <n v="1.3"/>
        <n v="0.96"/>
        <n v="95.16"/>
        <n v="0.73"/>
        <n v="19.5"/>
        <n v="0.2"/>
        <n v="0.61"/>
        <n v="0.68"/>
        <n v="0.13"/>
        <n v="59.19"/>
        <n v="0.89"/>
        <n v="0.69"/>
        <n v="0.3"/>
        <n v="0.5"/>
        <n v="0.33"/>
        <n v="0.35"/>
        <n v="0.24"/>
        <n v="0.21"/>
        <n v="0.78"/>
        <n v="4.08"/>
        <n v="1.45"/>
        <n v="0.8"/>
        <n v="0.47"/>
        <n v="7.03"/>
        <n v="2.63"/>
        <n v="0.56"/>
        <n v="0.36"/>
        <n v="0.08"/>
        <n v="1.94"/>
        <n v="5.95"/>
        <n v="0.74"/>
        <n v="1.74"/>
        <n v="2.66"/>
        <n v="5.54"/>
        <n v="2.82"/>
        <n v="0.77"/>
        <n v="0.85"/>
        <n v="1.14"/>
        <n v="0.17"/>
        <n v="1.17"/>
        <n v="0.07"/>
        <n v="0.46"/>
        <n v="1.85"/>
        <n v="1.87"/>
        <n v="2.28"/>
        <n v="81.52"/>
        <n v="6.66"/>
        <n v="0.15"/>
        <n v="0.6"/>
        <n v="0.43"/>
        <n v="0.12"/>
        <n v="1.22"/>
        <n v="1.79"/>
        <n v="0.99"/>
        <m/>
      </sharedItems>
    </cacheField>
    <cacheField name="Fishing Water">
      <sharedItems containsBlank="1" containsMixedTypes="1" containsNumber="1">
        <n v="0.0"/>
        <n v="0.07"/>
        <n v="0.01"/>
        <n v="0.26"/>
        <s v=""/>
        <n v="1.67"/>
        <n v="0.02"/>
        <n v="3.19"/>
        <n v="8.27"/>
        <n v="0.46"/>
        <n v="0.05"/>
        <n v="0.04"/>
        <n v="0.27"/>
        <n v="0.17"/>
        <n v="1.24"/>
        <n v="0.12"/>
        <n v="0.08"/>
        <n v="3.41"/>
        <n v="0.11"/>
        <n v="0.38"/>
        <n v="0.35"/>
        <n v="0.33"/>
        <n v="0.16"/>
        <n v="0.06"/>
        <n v="1.8"/>
        <n v="0.1"/>
        <n v="1.01"/>
        <n v="0.93"/>
        <n v="0.65"/>
        <n v="16.07"/>
        <n v="0.42"/>
        <n v="2.93"/>
        <n v="0.32"/>
        <n v="0.18"/>
        <n v="0.3"/>
        <n v="1.79"/>
        <n v="5.12"/>
        <n v="0.23"/>
        <n v="0.03"/>
        <n v="0.19"/>
        <n v="1.49"/>
        <n v="0.09"/>
        <n v="0.4"/>
        <n v="0.37"/>
        <n v="1.93"/>
        <n v="0.25"/>
        <n v="0.21"/>
        <n v="0.84"/>
        <n v="1.38"/>
        <n v="0.56"/>
        <n v="0.14"/>
        <n v="0.24"/>
        <n v="0.28"/>
        <n v="4.76"/>
        <n v="0.43"/>
        <n v="5.35"/>
        <n v="0.86"/>
        <n v="0.49"/>
        <n v="1.61"/>
        <n v="0.6"/>
        <n v="0.73"/>
        <n v="0.2"/>
        <n v="1.17"/>
        <n v="1.19"/>
        <n v="0.22"/>
        <n v="7.39"/>
        <n v="2.19"/>
        <n v="0.94"/>
        <n v="0.52"/>
        <n v="1.37"/>
        <n v="0.13"/>
        <n v="0.15"/>
        <n v="0.47"/>
        <n v="2.18"/>
        <m/>
      </sharedItems>
    </cacheField>
    <cacheField name="Urban Land">
      <sharedItems containsBlank="1" containsMixedTypes="1" containsNumber="1">
        <n v="0.04"/>
        <n v="0.06"/>
        <n v="0.03"/>
        <s v=""/>
        <n v="0.1"/>
        <n v="0.07"/>
        <n v="0.14"/>
        <n v="0.15"/>
        <n v="0.09"/>
        <n v="0.27"/>
        <n v="0.25"/>
        <n v="0.02"/>
        <n v="0.13"/>
        <n v="0.05"/>
        <n v="0.0"/>
        <n v="0.12"/>
        <n v="0.08"/>
        <n v="0.21"/>
        <n v="0.24"/>
        <n v="0.11"/>
        <n v="0.01"/>
        <n v="0.17"/>
        <n v="0.19"/>
        <n v="0.23"/>
        <n v="0.18"/>
        <m/>
      </sharedItems>
    </cacheField>
    <cacheField name="Total Biocapacity">
      <sharedItems containsMixedTypes="1" containsNumber="1">
        <n v="0.5"/>
        <n v="1.18"/>
        <n v="0.59"/>
        <n v="2.55"/>
        <n v="0.94"/>
        <n v="6.92"/>
        <n v="0.89"/>
        <n v="0.57"/>
        <n v="16.57"/>
        <n v="3.07"/>
        <n v="0.85"/>
        <n v="9.55"/>
        <n v="0.58"/>
        <n v="0.38"/>
        <n v="0.19"/>
        <n v="3.64"/>
        <n v="1.19"/>
        <n v="0.88"/>
        <n v="0.13"/>
        <n v="5.27"/>
        <n v="16.73"/>
        <n v="1.63"/>
        <n v="3.47"/>
        <n v="9.08"/>
        <n v="2.05"/>
        <n v="2.87"/>
        <n v="2.86"/>
        <n v="0.98"/>
        <n v="0.32"/>
        <n v="0.62"/>
        <n v="1.09"/>
        <n v="1.69"/>
        <n v="16.01"/>
        <n v="7.87"/>
        <n v="2.03"/>
        <n v="3.63"/>
        <n v="3.6"/>
        <n v="10.91"/>
        <n v="1.53"/>
        <n v="1.78"/>
        <n v="2.8"/>
        <n v="0.76"/>
        <n v="0.34"/>
        <n v="2.46"/>
        <n v="4.78"/>
        <n v="0.77"/>
        <n v="1.03"/>
        <n v="0.56"/>
        <n v="2.2"/>
        <n v="0.61"/>
        <n v="4.4"/>
        <n v="1.3"/>
        <n v="10.53"/>
        <n v="2.37"/>
        <n v="13.44"/>
        <n v="3.11"/>
        <n v="111.35"/>
        <n v="1.37"/>
        <n v="26.31"/>
        <n v="0.82"/>
        <n v="1.17"/>
        <n v="2.27"/>
        <n v="1.35"/>
        <n v="1.61"/>
        <n v="1.96"/>
        <n v="0.45"/>
        <n v="0.99"/>
        <n v="2.09"/>
        <n v="3.03"/>
        <n v="66.58"/>
        <n v="0.27"/>
        <n v="1.77"/>
        <n v="2.17"/>
        <n v="1.26"/>
        <n v="0.9"/>
        <n v="0.29"/>
        <n v="3.73"/>
        <n v="0.35"/>
        <n v="1.08"/>
        <n v="0.43"/>
        <n v="0.72"/>
        <n v="0.21"/>
        <n v="3.41"/>
        <n v="0.51"/>
        <n v="0.6"/>
        <n v="0.68"/>
        <n v="0.55"/>
        <n v="1.62"/>
        <n v="0.33"/>
        <n v="0.78"/>
        <n v="2.57"/>
        <n v="0.7"/>
        <n v="5.67"/>
        <n v="1.68"/>
        <n v="1.51"/>
        <n v="2.63"/>
        <n v="0.66"/>
        <n v="2.41"/>
        <n v="1.58"/>
        <n v="0.39"/>
        <n v="4.48"/>
        <n v="0.71"/>
        <n v="1.27"/>
        <n v="0.8"/>
        <n v="15.66"/>
        <n v="3.24"/>
        <n v="1.36"/>
        <n v="2.06"/>
        <n v="1.84"/>
        <n v="6.88"/>
        <n v="7.67"/>
        <n v="10.14"/>
        <n v="2.25"/>
        <n v="1.24"/>
        <n v="8.18"/>
        <n v="1.92"/>
        <n v="2.94"/>
        <n v="3.92"/>
        <n v="10.52"/>
        <n v="3.97"/>
        <n v="0.54"/>
        <n v="2.08"/>
        <n v="0.18"/>
        <n v="2.32"/>
        <n v="6.79"/>
        <n v="1.93"/>
        <n v="0.87"/>
        <n v="1.05"/>
        <n v="1.25"/>
        <n v="0.05"/>
        <n v="2.71"/>
        <n v="2.35"/>
        <n v="4.36"/>
        <n v="1.15"/>
        <n v="0.44"/>
        <n v="89.33"/>
        <n v="10.62"/>
        <n v="0.53"/>
        <n v="1.48"/>
        <n v="1.56"/>
        <n v="0.93"/>
        <n v="1.52"/>
        <n v="2.79"/>
        <n v="1.32"/>
        <n v="3.76"/>
        <n v="10.32"/>
        <n v="0.92"/>
        <n v="2.78"/>
        <n v="1.0"/>
        <n v="2.23"/>
        <s v="Total Biocapacity"/>
      </sharedItems>
    </cacheField>
    <cacheField name="Biocapacity Deficit or Reserve" numFmtId="0">
      <sharedItems containsString="0" containsBlank="1" containsNumber="1">
        <n v="-0.3"/>
        <n v="-1.03"/>
        <n v="-1.53"/>
        <n v="1.61"/>
        <n v="-4.44"/>
        <n v="3.78"/>
        <n v="-1.35"/>
        <n v="-11.31"/>
        <n v="7.26"/>
        <n v="-3.0"/>
        <n v="-1.46"/>
        <n v="2.71"/>
        <n v="-6.91"/>
        <n v="-0.35"/>
        <n v="-4.29"/>
        <n v="-1.45"/>
        <n v="-6.25"/>
        <n v="-0.53"/>
        <n v="-5.64"/>
        <n v="0.43"/>
        <n v="13.77"/>
        <n v="-1.49"/>
        <n v="5.97"/>
        <n v="-0.81"/>
        <n v="-1.19"/>
        <n v="-0.46"/>
        <n v="-0.22"/>
        <n v="-0.48"/>
        <n v="-1.9"/>
        <n v="-0.11"/>
        <n v="0.52"/>
        <n v="7.83"/>
        <n v="-5.33"/>
        <n v="6.62"/>
        <n v="0.57"/>
        <n v="-0.73"/>
        <n v="-2.44"/>
        <n v="1.72"/>
        <n v="-0.7"/>
        <n v="9.63"/>
        <n v="2.25"/>
        <n v="-1.31"/>
        <n v="0.51"/>
        <n v="-1.12"/>
        <n v="-3.87"/>
        <n v="-2.73"/>
        <n v="-1.42"/>
        <n v="-1.54"/>
        <n v="-0.97"/>
        <n v="0.03"/>
        <n v="-1.59"/>
        <n v="0.44"/>
        <n v="0.88"/>
        <n v="3.67"/>
        <n v="-0.44"/>
        <n v="-0.52"/>
        <n v="7.57"/>
        <n v="-2.04"/>
        <n v="109.01"/>
        <n v="-3.36"/>
        <n v="24.29"/>
        <n v="-0.21"/>
        <n v="-0.41"/>
        <n v="-3.02"/>
        <n v="-0.62"/>
        <n v="-2.77"/>
        <n v="-1.01"/>
        <n v="-0.9"/>
        <n v="0.68"/>
        <n v="1.49"/>
        <n v="63.51"/>
        <n v="-0.34"/>
        <n v="0.09"/>
        <n v="-0.75"/>
        <n v="-0.71"/>
        <n v="-0.32"/>
        <n v="-1.89"/>
        <n v="-1.83"/>
        <n v="-5.87"/>
        <n v="-3.53"/>
        <n v="-4.3"/>
        <n v="-2.14"/>
        <n v="-0.57"/>
        <n v="-5.01"/>
        <n v="-7.58"/>
        <n v="-0.61"/>
        <n v="0.4"/>
        <n v="3.26"/>
        <n v="-3.51"/>
        <n v="-0.87"/>
        <n v="1.35"/>
        <n v="-0.17"/>
        <n v="-14.14"/>
        <n v="-1.75"/>
        <n v="1.64"/>
        <n v="-0.15"/>
        <n v="-1.3"/>
        <n v="0.05"/>
        <n v="-1.7"/>
        <n v="1.93"/>
        <n v="-2.75"/>
        <n v="-1.62"/>
        <n v="-0.98"/>
        <n v="9.58"/>
        <n v="-0.54"/>
        <n v="-6.42"/>
        <n v="-0.96"/>
        <n v="1.19"/>
        <n v="0.41"/>
        <n v="4.4"/>
        <n v="-2.76"/>
        <n v="-0.38"/>
        <n v="-4.11"/>
        <n v="4.09"/>
        <n v="4.54"/>
        <n v="0.87"/>
        <n v="-0.47"/>
        <n v="3.19"/>
        <n v="-5.6"/>
        <n v="0.15"/>
        <n v="2.01"/>
        <n v="6.36"/>
        <n v="1.69"/>
        <n v="-0.56"/>
        <n v="-2.36"/>
        <n v="-2.37"/>
        <n v="-9.56"/>
        <n v="-3.47"/>
        <n v="-0.39"/>
        <n v="1.1"/>
        <n v="-4.31"/>
        <n v="-2.1"/>
        <n v="-1.85"/>
        <n v="-0.85"/>
        <n v="-5.12"/>
        <n v="-0.16"/>
        <n v="-1.44"/>
        <n v="0.0"/>
        <n v="-7.92"/>
        <n v="3.08"/>
        <n v="-2.16"/>
        <n v="-2.42"/>
        <n v="-0.88"/>
        <n v="85.08"/>
        <n v="-1.14"/>
        <n v="3.38"/>
        <n v="-4.48"/>
        <n v="-0.91"/>
        <n v="-0.24"/>
        <n v="1.3"/>
        <n v="-0.6"/>
        <n v="-1.22"/>
        <n v="-6.36"/>
        <n v="-1.4"/>
        <n v="-1.81"/>
        <n v="-2.68"/>
        <n v="-0.66"/>
        <n v="-0.58"/>
        <n v="-3.62"/>
        <n v="-7.37"/>
        <n v="-4.46"/>
        <n v="7.41"/>
        <n v="-0.79"/>
        <n v="-0.65"/>
        <n v="1.24"/>
        <m/>
      </sharedItems>
    </cacheField>
    <cacheField name="Earths Required" numFmtId="0">
      <sharedItems containsString="0" containsBlank="1" containsNumber="1">
        <n v="0.46"/>
        <n v="1.27"/>
        <n v="1.22"/>
        <n v="0.54"/>
        <n v="3.11"/>
        <n v="1.82"/>
        <n v="1.29"/>
        <n v="6.86"/>
        <n v="5.37"/>
        <n v="3.5"/>
        <n v="1.33"/>
        <n v="3.95"/>
        <n v="4.33"/>
        <n v="0.42"/>
        <n v="2.58"/>
        <n v="2.94"/>
        <n v="4.3"/>
        <n v="0.81"/>
        <n v="3.33"/>
        <n v="2.8"/>
        <n v="1.71"/>
        <n v="1.8"/>
        <n v="2.21"/>
        <n v="1.65"/>
        <n v="2.34"/>
        <n v="1.92"/>
        <n v="0.7"/>
        <n v="1.46"/>
        <n v="0.68"/>
        <n v="4.72"/>
        <n v="3.26"/>
        <n v="0.72"/>
        <n v="0.84"/>
        <n v="2.52"/>
        <n v="1.95"/>
        <n v="1.08"/>
        <n v="0.59"/>
        <n v="0.74"/>
        <n v="0.47"/>
        <n v="1.64"/>
        <n v="2.27"/>
        <n v="1.13"/>
        <n v="2.43"/>
        <n v="3.0"/>
        <n v="3.18"/>
        <n v="1.49"/>
        <n v="0.88"/>
        <n v="1.25"/>
        <n v="1.24"/>
        <n v="1.2"/>
        <n v="2.29"/>
        <n v="0.24"/>
        <n v="3.96"/>
        <n v="1.67"/>
        <n v="3.39"/>
        <n v="2.97"/>
        <n v="1.35"/>
        <n v="2.73"/>
        <n v="1.16"/>
        <n v="0.6"/>
        <n v="0.91"/>
        <n v="3.06"/>
        <n v="1.14"/>
        <n v="2.53"/>
        <n v="1.72"/>
        <n v="1.86"/>
        <n v="1.09"/>
        <n v="0.89"/>
        <n v="1.77"/>
        <n v="0.35"/>
        <n v="0.97"/>
        <n v="1.69"/>
        <n v="0.67"/>
        <n v="1.61"/>
        <n v="3.21"/>
        <n v="3.59"/>
        <n v="2.66"/>
        <n v="2.9"/>
        <n v="1.21"/>
        <n v="3.2"/>
        <n v="3.29"/>
        <n v="4.7"/>
        <n v="1.1"/>
        <n v="3.63"/>
        <n v="2.22"/>
        <n v="0.96"/>
        <n v="2.13"/>
        <n v="3.37"/>
        <n v="9.14"/>
        <n v="1.88"/>
        <n v="0.57"/>
        <n v="2.14"/>
        <n v="1.47"/>
        <n v="2.0"/>
        <n v="1.03"/>
        <n v="3.51"/>
        <n v="2.19"/>
        <n v="4.49"/>
        <n v="0.5"/>
        <n v="0.83"/>
        <n v="1.43"/>
        <n v="1.7"/>
        <n v="0.56"/>
        <n v="3.05"/>
        <n v="2.07"/>
        <n v="3.23"/>
        <n v="0.8"/>
        <n v="0.9"/>
        <n v="2.88"/>
        <n v="4.34"/>
        <n v="2.4"/>
        <n v="1.32"/>
        <n v="0.64"/>
        <n v="2.57"/>
        <n v="2.24"/>
        <n v="6.24"/>
        <n v="2.11"/>
        <n v="1.56"/>
        <n v="2.85"/>
        <n v="1.41"/>
        <n v="1.79"/>
        <n v="1.6"/>
        <n v="0.86"/>
        <n v="3.24"/>
        <n v="0.71"/>
        <n v="4.61"/>
        <n v="2.35"/>
        <n v="3.36"/>
        <n v="1.91"/>
        <n v="2.12"/>
        <n v="0.77"/>
        <n v="2.46"/>
        <n v="4.19"/>
        <n v="3.34"/>
        <n v="0.87"/>
        <n v="0.52"/>
        <n v="0.76"/>
        <n v="1.54"/>
        <n v="0.28"/>
        <n v="0.65"/>
        <n v="4.57"/>
        <n v="3.16"/>
        <n v="4.58"/>
        <n v="4.75"/>
        <n v="1.68"/>
        <n v="1.34"/>
        <n v="2.06"/>
        <n v="0.95"/>
        <n v="1.19"/>
        <n v="0.79"/>
        <m/>
      </sharedItems>
    </cacheField>
    <cacheField name="Countries Required" numFmtId="0">
      <sharedItems containsString="0" containsBlank="1" containsNumber="1">
        <n v="1.6"/>
        <n v="1.87"/>
        <n v="3.61"/>
        <n v="0.37"/>
        <n v="5.7"/>
        <n v="0.45"/>
        <n v="2.52"/>
        <n v="20.69"/>
        <n v="0.56"/>
        <n v="1.98"/>
        <n v="2.72"/>
        <n v="0.72"/>
        <n v="12.96"/>
        <n v="1.92"/>
        <n v="23.79"/>
        <n v="1.4"/>
        <n v="6.27"/>
        <n v="1.61"/>
        <n v="44.05"/>
        <n v="0.92"/>
        <n v="0.18"/>
        <n v="1.91"/>
        <n v="1.1"/>
        <n v="0.34"/>
        <n v="1.41"/>
        <n v="1.16"/>
        <n v="1.23"/>
        <n v="2.48"/>
        <n v="4.06"/>
        <n v="1.11"/>
        <n v="0.69"/>
        <n v="0.51"/>
        <n v="17.91"/>
        <n v="0.16"/>
        <n v="1.2"/>
        <n v="3.59"/>
        <n v="0.52"/>
        <n v="3.17"/>
        <n v="0.12"/>
        <n v="0.27"/>
        <n v="1.86"/>
        <n v="2.56"/>
        <n v="12.35"/>
        <n v="2.11"/>
        <n v="1.15"/>
        <n v="2.84"/>
        <n v="2.49"/>
        <n v="2.74"/>
        <n v="0.99"/>
        <n v="3.86"/>
        <n v="3.37"/>
        <n v="0.9"/>
        <n v="0.32"/>
        <n v="0.65"/>
        <n v="1.75"/>
        <n v="1.22"/>
        <n v="0.44"/>
        <n v="1.66"/>
        <n v="0.02"/>
        <n v="3.45"/>
        <n v="0.08"/>
        <n v="1.25"/>
        <n v="1.35"/>
        <n v="2.33"/>
        <n v="1.46"/>
        <n v="2.73"/>
        <n v="1.52"/>
        <n v="7.14"/>
        <n v="0.67"/>
        <n v="0.05"/>
        <n v="2.28"/>
        <n v="0.95"/>
        <n v="1.34"/>
        <n v="2.55"/>
        <n v="3.1"/>
        <n v="6.58"/>
        <n v="1.49"/>
        <n v="17.59"/>
        <n v="4.28"/>
        <n v="4.39"/>
        <n v="7.01"/>
        <n v="9.91"/>
        <n v="1.63"/>
        <n v="2.02"/>
        <n v="1.94"/>
        <n v="8.36"/>
        <n v="14.68"/>
        <n v="1.47"/>
        <n v="0.75"/>
        <n v="0.66"/>
        <n v="11.7"/>
        <n v="0.47"/>
        <n v="5.3"/>
        <n v="1.03"/>
        <n v="9.44"/>
        <n v="2.16"/>
        <n v="0.38"/>
        <n v="1.54"/>
        <n v="0.97"/>
        <n v="5.41"/>
        <n v="0.57"/>
        <n v="4.89"/>
        <n v="2.27"/>
        <n v="2.23"/>
        <n v="0.39"/>
        <n v="1.17"/>
        <n v="5.71"/>
        <n v="2.35"/>
        <n v="0.42"/>
        <n v="0.78"/>
        <n v="0.36"/>
        <n v="15.83"/>
        <n v="1.65"/>
        <n v="4.53"/>
        <n v="0.55"/>
        <n v="0.62"/>
        <n v="1.26"/>
        <n v="1.67"/>
        <n v="0.61"/>
        <n v="3.93"/>
        <n v="0.49"/>
        <n v="0.4"/>
        <n v="2.03"/>
        <n v="2.14"/>
        <n v="2.57"/>
        <n v="8.72"/>
        <n v="20.18"/>
        <n v="0.84"/>
        <n v="7.92"/>
        <n v="7.12"/>
        <n v="2.47"/>
        <n v="1.44"/>
        <n v="1.7"/>
        <n v="11.28"/>
        <n v="2.15"/>
        <n v="1.0"/>
        <n v="159.47"/>
        <n v="1.5"/>
        <n v="0.29"/>
        <n v="0.98"/>
        <n v="2.87"/>
        <n v="2.94"/>
        <n v="3.01"/>
        <n v="2.3"/>
        <n v="0.68"/>
        <n v="4.44"/>
        <n v="2.5"/>
        <n v="1.71"/>
        <n v="2.13"/>
        <n v="1.82"/>
        <n v="5.07"/>
        <n v="2.51"/>
        <n v="2.19"/>
        <n v="1.96"/>
        <n v="2.12"/>
        <n v="3.76"/>
        <n v="14.1607142857143"/>
        <n v="0.28"/>
        <n v="1.28"/>
        <n v="1.37"/>
        <n v="2.06"/>
        <n v="2.2"/>
        <m/>
      </sharedItems>
    </cacheField>
    <cacheField name="Data Quality">
      <sharedItems containsBlank="1" containsMixedTypes="1" containsNumber="1" containsInteger="1">
        <n v="6.0"/>
        <n v="5.0"/>
        <n v="2.0"/>
        <s v="3B"/>
        <s v="3L"/>
        <s v="3T"/>
        <n v="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E7" firstHeaderRow="0" firstDataRow="2" firstDataCol="0"/>
  <pivotFields>
    <pivotField name="Count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pulation (million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HDI (as numbe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evelopment Tier" axis="axisRow" compact="0" outline="0" multipleItemSelectionAllowed="1" showAll="0" sortType="ascending">
      <items>
        <item h="1" x="5"/>
        <item x="1"/>
        <item x="0"/>
        <item x="4"/>
        <item x="3"/>
        <item x="2"/>
        <item t="default"/>
      </items>
    </pivotField>
    <pivotField name="GDP per Capi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Cropland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Grazing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Forest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arbon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Fish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otal Ecological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op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Grazing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Forest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shing W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Urban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Bio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Biocapacity Deficit or Reser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Earths Requi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Countries 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Data Qu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colFields>
    <field x="-2"/>
  </colFields>
  <dataFields>
    <dataField name="COUNTA of Country" fld="0" subtotal="count" baseField="0"/>
    <dataField name="AVERAGE of GDP per Capita" fld="5" subtotal="average" baseField="0"/>
    <dataField name="AVERAGE of Total Ecological Footprint" fld="11" subtotal="average" baseField="0"/>
    <dataField name="AVERAGE of Earths Required" fld="19" subtotal="average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A10:D18" firstHeaderRow="0" firstDataRow="2" firstDataCol="0" rowPageCount="1" colPageCount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Region" axis="axisRow" compact="0" outline="0" multipleItemSelectionAllowed="1" showAll="0" sortType="ascending">
      <items>
        <item x="7"/>
        <item x="2"/>
        <item x="4"/>
        <item x="5"/>
        <item x="3"/>
        <item x="0"/>
        <item x="6"/>
        <item x="1"/>
        <item t="default"/>
      </items>
    </pivotField>
    <pivotField name="Population (million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HDI (as numbe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evelopment Tier" axis="axisPage" compact="0" outline="0" multipleItemSelectionAllowed="1" showAll="0">
      <items>
        <item x="0"/>
        <item x="1"/>
        <item x="2"/>
        <item x="3"/>
        <item x="4"/>
        <item h="1" x="5"/>
        <item t="default"/>
      </items>
    </pivotField>
    <pivotField name="GDP per 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Cropland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Grazing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Forest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arbon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Fish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otal Ecological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op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Grazing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Forest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shing W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Urban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Biocapac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Biocapacity Deficit or Reserv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Earths 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Countries 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Data Qu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colFields>
    <field x="-2"/>
  </colFields>
  <pageFields>
    <pageField fld="4"/>
  </pageFields>
  <dataFields>
    <dataField name="AVERAGE of Total Biocapacity" fld="17" subtotal="average" baseField="0"/>
    <dataField name="AVERAGE of Total Ecological Footprint" fld="11" subtotal="average" baseField="0"/>
    <dataField name="AVERAGE of Biocapacity Deficit or Reserve" fld="18" subtotal="average" baseField="0"/>
  </dataFields>
</pivotTableDefinition>
</file>

<file path=xl/pivotTables/pivotTable3.xml><?xml version="1.0" encoding="utf-8"?>
<pivotTableDefinition xmlns="http://schemas.openxmlformats.org/spreadsheetml/2006/main" name="pivot_tables 3" cacheId="0" dataCaption="" compact="0" compactData="0">
  <location ref="A21:F27" firstHeaderRow="0" firstDataRow="2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pulation (million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HDI (as numbe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evelopment Tier" axis="axisRow" compact="0" outline="0" multipleItemSelectionAllowed="1" showAll="0" sortType="ascending">
      <items>
        <item h="1" x="5"/>
        <item x="1"/>
        <item x="0"/>
        <item x="4"/>
        <item x="3"/>
        <item x="2"/>
        <item t="default"/>
      </items>
    </pivotField>
    <pivotField name="GDP per 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Cropland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Grazing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Forest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Carbon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Fish Footpr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otal Ecological Foot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Crop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Grazing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Forest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Fishing W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Urban L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Biocapa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Biocapacity Deficit or Reser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Earths 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Countries 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Data Qu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colFields>
    <field x="-2"/>
  </colFields>
  <dataFields>
    <dataField name="AVERAGE of Cropland Footprint" fld="6" subtotal="average" baseField="0"/>
    <dataField name="AVERAGE of Grazing Footprint" fld="7" subtotal="average" baseField="0"/>
    <dataField name="AVERAGE of Forest Footprint" fld="8" subtotal="average" baseField="0"/>
    <dataField name="AVERAGE of Carbon Footprint" fld="9" subtotal="average" baseField="0"/>
    <dataField name="AVERAGE of Fish Footprint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6.0"/>
    <col customWidth="1" min="5" max="5" width="13.13"/>
    <col customWidth="1" min="6" max="6" width="14.75"/>
    <col customWidth="1" min="7" max="7" width="14.5"/>
    <col customWidth="1" min="8" max="8" width="14.0"/>
    <col customWidth="1" min="9" max="9" width="13.88"/>
    <col customWidth="1" min="10" max="10" width="11.75"/>
    <col customWidth="1" min="17" max="17" width="15.0"/>
  </cols>
  <sheetData>
    <row r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16</v>
      </c>
      <c r="N1" s="2" t="s">
        <v>18</v>
      </c>
      <c r="O1" s="2" t="s">
        <v>20</v>
      </c>
      <c r="P1" s="2" t="s">
        <v>21</v>
      </c>
      <c r="Q1" s="2" t="s">
        <v>23</v>
      </c>
      <c r="R1" s="2" t="s">
        <v>24</v>
      </c>
      <c r="S1" s="2" t="s">
        <v>27</v>
      </c>
      <c r="T1" s="2" t="s">
        <v>29</v>
      </c>
      <c r="U1" s="2" t="s">
        <v>31</v>
      </c>
    </row>
    <row r="2">
      <c r="A2" s="2" t="s">
        <v>32</v>
      </c>
      <c r="B2" s="2" t="s">
        <v>33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40</v>
      </c>
      <c r="H2" s="2" t="s">
        <v>41</v>
      </c>
      <c r="I2" s="2" t="s">
        <v>42</v>
      </c>
      <c r="J2" s="2">
        <v>0.0</v>
      </c>
      <c r="K2" s="2" t="s">
        <v>44</v>
      </c>
      <c r="L2" s="2" t="s">
        <v>45</v>
      </c>
      <c r="M2" s="2" t="s">
        <v>40</v>
      </c>
      <c r="N2" s="2" t="s">
        <v>48</v>
      </c>
      <c r="O2" s="2">
        <v>0.0</v>
      </c>
      <c r="P2" s="2" t="s">
        <v>49</v>
      </c>
      <c r="Q2" s="2" t="s">
        <v>51</v>
      </c>
      <c r="R2" s="2" t="s">
        <v>52</v>
      </c>
      <c r="S2" s="2" t="s">
        <v>36</v>
      </c>
      <c r="T2" s="5">
        <v>46028.0</v>
      </c>
      <c r="U2" s="2">
        <v>6.0</v>
      </c>
    </row>
    <row r="3">
      <c r="A3" s="2" t="s">
        <v>57</v>
      </c>
      <c r="B3" s="2" t="s">
        <v>58</v>
      </c>
      <c r="C3" s="5">
        <v>46097.0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48</v>
      </c>
      <c r="K3" s="5">
        <v>46074.0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5">
        <v>46040.0</v>
      </c>
      <c r="R3" s="2" t="s">
        <v>70</v>
      </c>
      <c r="S3" s="5">
        <v>46049.0</v>
      </c>
      <c r="T3" s="2" t="s">
        <v>71</v>
      </c>
      <c r="U3" s="2">
        <v>6.0</v>
      </c>
    </row>
    <row r="4">
      <c r="A4" s="2" t="s">
        <v>72</v>
      </c>
      <c r="B4" s="2" t="s">
        <v>73</v>
      </c>
      <c r="C4" s="2" t="s">
        <v>74</v>
      </c>
      <c r="D4" s="2" t="s">
        <v>59</v>
      </c>
      <c r="E4" s="2" t="s">
        <v>75</v>
      </c>
      <c r="F4" s="2" t="s">
        <v>77</v>
      </c>
      <c r="G4" s="2" t="s">
        <v>78</v>
      </c>
      <c r="H4" s="2" t="s">
        <v>79</v>
      </c>
      <c r="I4" s="5">
        <v>46036.0</v>
      </c>
      <c r="J4" s="2" t="s">
        <v>80</v>
      </c>
      <c r="K4" s="5">
        <v>46065.0</v>
      </c>
      <c r="L4" s="2" t="s">
        <v>45</v>
      </c>
      <c r="M4" s="2" t="s">
        <v>81</v>
      </c>
      <c r="N4" s="2" t="s">
        <v>82</v>
      </c>
      <c r="O4" s="2" t="s">
        <v>80</v>
      </c>
      <c r="P4" s="2" t="s">
        <v>82</v>
      </c>
      <c r="Q4" s="2" t="s">
        <v>83</v>
      </c>
      <c r="R4" s="2" t="s">
        <v>84</v>
      </c>
      <c r="S4" s="5">
        <v>46044.0</v>
      </c>
      <c r="T4" s="2" t="s">
        <v>85</v>
      </c>
      <c r="U4" s="2">
        <v>5.0</v>
      </c>
    </row>
    <row r="5">
      <c r="A5" s="2" t="s">
        <v>86</v>
      </c>
      <c r="B5" s="2" t="s">
        <v>73</v>
      </c>
      <c r="C5" s="2" t="s">
        <v>87</v>
      </c>
      <c r="D5" s="2" t="s">
        <v>88</v>
      </c>
      <c r="E5" s="2" t="s">
        <v>89</v>
      </c>
      <c r="F5" s="2" t="s">
        <v>90</v>
      </c>
      <c r="G5" s="2" t="s">
        <v>91</v>
      </c>
      <c r="H5" s="2" t="s">
        <v>92</v>
      </c>
      <c r="I5" s="2" t="s">
        <v>40</v>
      </c>
      <c r="J5" s="2" t="s">
        <v>93</v>
      </c>
      <c r="K5" s="2" t="s">
        <v>94</v>
      </c>
      <c r="L5" s="2" t="s">
        <v>40</v>
      </c>
      <c r="M5" s="2" t="s">
        <v>95</v>
      </c>
      <c r="N5" s="2" t="s">
        <v>96</v>
      </c>
      <c r="O5" s="2" t="s">
        <v>97</v>
      </c>
      <c r="P5" s="2" t="s">
        <v>49</v>
      </c>
      <c r="Q5" s="2" t="s">
        <v>98</v>
      </c>
      <c r="R5" s="2" t="s">
        <v>99</v>
      </c>
      <c r="S5" s="2" t="s">
        <v>100</v>
      </c>
      <c r="T5" s="2" t="s">
        <v>101</v>
      </c>
      <c r="U5" s="2">
        <v>6.0</v>
      </c>
    </row>
    <row r="6">
      <c r="A6" s="2" t="s">
        <v>102</v>
      </c>
      <c r="B6" s="2" t="s">
        <v>103</v>
      </c>
      <c r="C6" s="2" t="s">
        <v>93</v>
      </c>
      <c r="D6" s="2" t="s">
        <v>61</v>
      </c>
      <c r="E6" s="2" t="s">
        <v>104</v>
      </c>
      <c r="K6" s="2" t="s">
        <v>105</v>
      </c>
      <c r="Q6" s="2" t="s">
        <v>107</v>
      </c>
      <c r="R6" s="2" t="s">
        <v>108</v>
      </c>
      <c r="S6" s="5">
        <v>46092.0</v>
      </c>
      <c r="T6" s="5">
        <v>46149.0</v>
      </c>
      <c r="U6" s="2">
        <v>2.0</v>
      </c>
    </row>
    <row r="7">
      <c r="A7" s="2" t="s">
        <v>109</v>
      </c>
      <c r="B7" s="2" t="s">
        <v>103</v>
      </c>
      <c r="C7" s="2" t="s">
        <v>110</v>
      </c>
      <c r="D7" s="2" t="s">
        <v>111</v>
      </c>
      <c r="E7" s="2" t="s">
        <v>112</v>
      </c>
      <c r="F7" s="2" t="s">
        <v>61</v>
      </c>
      <c r="G7" s="2" t="s">
        <v>44</v>
      </c>
      <c r="H7" s="2" t="s">
        <v>67</v>
      </c>
      <c r="I7" s="6">
        <v>46030.0</v>
      </c>
      <c r="J7" s="2" t="s">
        <v>114</v>
      </c>
      <c r="K7" s="5">
        <v>46095.0</v>
      </c>
      <c r="L7" s="2" t="s">
        <v>116</v>
      </c>
      <c r="M7" s="2" t="s">
        <v>117</v>
      </c>
      <c r="N7" s="2" t="s">
        <v>118</v>
      </c>
      <c r="O7" s="2" t="s">
        <v>119</v>
      </c>
      <c r="P7" s="2" t="s">
        <v>114</v>
      </c>
      <c r="Q7" s="2" t="s">
        <v>120</v>
      </c>
      <c r="R7" s="2" t="s">
        <v>121</v>
      </c>
      <c r="S7" s="2" t="s">
        <v>122</v>
      </c>
      <c r="T7" s="2" t="s">
        <v>123</v>
      </c>
      <c r="U7" s="2">
        <v>6.0</v>
      </c>
    </row>
    <row r="8">
      <c r="A8" s="2" t="s">
        <v>115</v>
      </c>
      <c r="B8" s="2" t="s">
        <v>33</v>
      </c>
      <c r="C8" s="2" t="s">
        <v>125</v>
      </c>
      <c r="D8" s="2" t="s">
        <v>59</v>
      </c>
      <c r="E8" s="2" t="s">
        <v>127</v>
      </c>
      <c r="F8" s="2" t="s">
        <v>128</v>
      </c>
      <c r="G8" s="2" t="s">
        <v>42</v>
      </c>
      <c r="H8" s="2" t="s">
        <v>130</v>
      </c>
      <c r="I8" s="2" t="s">
        <v>131</v>
      </c>
      <c r="J8" s="2" t="s">
        <v>80</v>
      </c>
      <c r="K8" s="5">
        <v>46076.0</v>
      </c>
      <c r="L8" s="2" t="s">
        <v>132</v>
      </c>
      <c r="M8" s="2" t="s">
        <v>97</v>
      </c>
      <c r="N8" s="2" t="s">
        <v>114</v>
      </c>
      <c r="O8" s="2" t="s">
        <v>48</v>
      </c>
      <c r="P8" s="2" t="s">
        <v>68</v>
      </c>
      <c r="Q8" s="2" t="s">
        <v>131</v>
      </c>
      <c r="R8" s="2" t="s">
        <v>135</v>
      </c>
      <c r="S8" s="5">
        <v>46051.0</v>
      </c>
      <c r="T8" s="2" t="s">
        <v>136</v>
      </c>
      <c r="U8" s="2" t="s">
        <v>124</v>
      </c>
    </row>
    <row r="9">
      <c r="A9" s="2" t="s">
        <v>126</v>
      </c>
      <c r="B9" s="2" t="s">
        <v>103</v>
      </c>
      <c r="C9" s="2" t="s">
        <v>114</v>
      </c>
      <c r="K9" s="2" t="s">
        <v>137</v>
      </c>
      <c r="Q9" s="2" t="s">
        <v>138</v>
      </c>
      <c r="R9" s="2" t="s">
        <v>139</v>
      </c>
      <c r="S9" s="2" t="s">
        <v>140</v>
      </c>
      <c r="T9" s="2" t="s">
        <v>141</v>
      </c>
      <c r="U9" s="2">
        <v>2.0</v>
      </c>
    </row>
    <row r="10">
      <c r="A10" s="2" t="s">
        <v>133</v>
      </c>
      <c r="B10" s="2" t="s">
        <v>134</v>
      </c>
      <c r="C10" s="2" t="s">
        <v>144</v>
      </c>
      <c r="D10" s="2" t="s">
        <v>94</v>
      </c>
      <c r="E10" s="2" t="s">
        <v>145</v>
      </c>
      <c r="F10" s="2" t="s">
        <v>146</v>
      </c>
      <c r="G10" s="2" t="s">
        <v>147</v>
      </c>
      <c r="H10" s="2" t="s">
        <v>131</v>
      </c>
      <c r="I10" s="2" t="s">
        <v>148</v>
      </c>
      <c r="J10" s="2" t="s">
        <v>149</v>
      </c>
      <c r="K10" s="2" t="s">
        <v>150</v>
      </c>
      <c r="L10" s="2" t="s">
        <v>151</v>
      </c>
      <c r="M10" s="2" t="s">
        <v>152</v>
      </c>
      <c r="N10" s="6">
        <v>46054.0</v>
      </c>
      <c r="O10" s="5">
        <v>46100.0</v>
      </c>
      <c r="P10" s="2" t="s">
        <v>154</v>
      </c>
      <c r="Q10" s="2" t="s">
        <v>155</v>
      </c>
      <c r="R10" s="5">
        <v>46229.0</v>
      </c>
      <c r="S10" s="2" t="s">
        <v>156</v>
      </c>
      <c r="T10" s="2" t="s">
        <v>157</v>
      </c>
      <c r="U10" s="2">
        <v>5.0</v>
      </c>
    </row>
    <row r="11">
      <c r="A11" s="2" t="s">
        <v>142</v>
      </c>
      <c r="B11" s="2" t="s">
        <v>143</v>
      </c>
      <c r="C11" s="2" t="s">
        <v>158</v>
      </c>
      <c r="D11" s="2" t="s">
        <v>159</v>
      </c>
      <c r="E11" s="2" t="s">
        <v>160</v>
      </c>
      <c r="F11" s="2" t="s">
        <v>162</v>
      </c>
      <c r="G11" s="2" t="s">
        <v>81</v>
      </c>
      <c r="H11" s="2" t="s">
        <v>147</v>
      </c>
      <c r="I11" s="5">
        <v>46126.0</v>
      </c>
      <c r="J11" s="2" t="s">
        <v>69</v>
      </c>
      <c r="K11" s="6">
        <v>46179.0</v>
      </c>
      <c r="L11" s="2" t="s">
        <v>163</v>
      </c>
      <c r="M11" s="2" t="s">
        <v>78</v>
      </c>
      <c r="N11" s="6">
        <v>46057.0</v>
      </c>
      <c r="O11" s="2">
        <v>0.0</v>
      </c>
      <c r="P11" s="2" t="s">
        <v>91</v>
      </c>
      <c r="Q11" s="6">
        <v>46088.0</v>
      </c>
      <c r="R11" s="2">
        <v>-3.0</v>
      </c>
      <c r="S11" s="5">
        <v>46086.0</v>
      </c>
      <c r="T11" s="2" t="s">
        <v>166</v>
      </c>
      <c r="U11" s="2">
        <v>5.0</v>
      </c>
    </row>
    <row r="12">
      <c r="A12" s="2" t="s">
        <v>153</v>
      </c>
      <c r="B12" s="2" t="s">
        <v>33</v>
      </c>
      <c r="C12" s="2" t="s">
        <v>150</v>
      </c>
      <c r="D12" s="2" t="s">
        <v>167</v>
      </c>
      <c r="E12" s="2" t="s">
        <v>168</v>
      </c>
      <c r="F12" s="2" t="s">
        <v>118</v>
      </c>
      <c r="G12" s="2" t="s">
        <v>62</v>
      </c>
      <c r="H12" s="2" t="s">
        <v>149</v>
      </c>
      <c r="I12" s="5">
        <v>46047.0</v>
      </c>
      <c r="J12" s="2" t="s">
        <v>80</v>
      </c>
      <c r="K12" s="2" t="s">
        <v>169</v>
      </c>
      <c r="L12" s="2" t="s">
        <v>36</v>
      </c>
      <c r="M12" s="2" t="s">
        <v>40</v>
      </c>
      <c r="N12" s="2" t="s">
        <v>149</v>
      </c>
      <c r="O12" s="2" t="s">
        <v>48</v>
      </c>
      <c r="P12" s="2" t="s">
        <v>69</v>
      </c>
      <c r="Q12" s="2" t="s">
        <v>170</v>
      </c>
      <c r="R12" s="2" t="s">
        <v>171</v>
      </c>
      <c r="S12" s="2" t="s">
        <v>172</v>
      </c>
      <c r="T12" s="2" t="s">
        <v>174</v>
      </c>
      <c r="U12" s="2">
        <v>6.0</v>
      </c>
    </row>
    <row r="13">
      <c r="A13" s="2" t="s">
        <v>161</v>
      </c>
      <c r="B13" s="2" t="s">
        <v>103</v>
      </c>
      <c r="C13" s="2" t="s">
        <v>101</v>
      </c>
      <c r="D13" s="2" t="s">
        <v>61</v>
      </c>
      <c r="E13" s="2" t="s">
        <v>176</v>
      </c>
      <c r="F13" s="2" t="s">
        <v>177</v>
      </c>
      <c r="G13" s="6">
        <v>46027.0</v>
      </c>
      <c r="H13" s="2" t="s">
        <v>178</v>
      </c>
      <c r="I13" s="2" t="s">
        <v>179</v>
      </c>
      <c r="J13" s="2" t="s">
        <v>154</v>
      </c>
      <c r="K13" s="2" t="s">
        <v>180</v>
      </c>
      <c r="L13" s="2" t="s">
        <v>181</v>
      </c>
      <c r="M13" s="2">
        <v>0.0</v>
      </c>
      <c r="N13" s="5">
        <v>46040.0</v>
      </c>
      <c r="O13" s="5">
        <v>46261.0</v>
      </c>
      <c r="P13" s="2" t="s">
        <v>49</v>
      </c>
      <c r="Q13" s="2" t="s">
        <v>183</v>
      </c>
      <c r="R13" s="2" t="s">
        <v>184</v>
      </c>
      <c r="S13" s="2" t="s">
        <v>185</v>
      </c>
      <c r="T13" s="2" t="s">
        <v>186</v>
      </c>
      <c r="U13" s="2" t="s">
        <v>164</v>
      </c>
    </row>
    <row r="14">
      <c r="A14" s="2" t="s">
        <v>165</v>
      </c>
      <c r="B14" s="2" t="s">
        <v>33</v>
      </c>
      <c r="C14" s="2" t="s">
        <v>187</v>
      </c>
      <c r="D14" s="2" t="s">
        <v>162</v>
      </c>
      <c r="E14" s="2" t="s">
        <v>188</v>
      </c>
      <c r="F14" s="2" t="s">
        <v>88</v>
      </c>
      <c r="G14" s="2" t="s">
        <v>123</v>
      </c>
      <c r="H14" s="2" t="s">
        <v>78</v>
      </c>
      <c r="I14" s="5">
        <v>46192.0</v>
      </c>
      <c r="J14" s="2" t="s">
        <v>68</v>
      </c>
      <c r="K14" s="2" t="s">
        <v>190</v>
      </c>
      <c r="L14" s="2" t="s">
        <v>80</v>
      </c>
      <c r="M14" s="2">
        <v>0.0</v>
      </c>
      <c r="N14" s="2">
        <v>0.0</v>
      </c>
      <c r="O14" s="2" t="s">
        <v>36</v>
      </c>
      <c r="P14" s="2" t="s">
        <v>114</v>
      </c>
      <c r="Q14" s="2" t="s">
        <v>191</v>
      </c>
      <c r="R14" s="2" t="s">
        <v>192</v>
      </c>
      <c r="S14" s="2" t="s">
        <v>193</v>
      </c>
      <c r="T14" s="2" t="s">
        <v>195</v>
      </c>
      <c r="U14" s="2" t="s">
        <v>164</v>
      </c>
    </row>
    <row r="15">
      <c r="A15" s="2" t="s">
        <v>173</v>
      </c>
      <c r="B15" s="2" t="s">
        <v>134</v>
      </c>
      <c r="C15" s="2" t="s">
        <v>196</v>
      </c>
      <c r="D15" s="2" t="s">
        <v>157</v>
      </c>
      <c r="E15" s="2" t="s">
        <v>197</v>
      </c>
      <c r="F15" s="2" t="s">
        <v>67</v>
      </c>
      <c r="G15" s="2">
        <v>0.0</v>
      </c>
      <c r="H15" s="2" t="s">
        <v>41</v>
      </c>
      <c r="I15" s="2" t="s">
        <v>97</v>
      </c>
      <c r="J15" s="2" t="s">
        <v>48</v>
      </c>
      <c r="K15" s="2" t="s">
        <v>186</v>
      </c>
      <c r="L15" s="2" t="s">
        <v>63</v>
      </c>
      <c r="M15" s="2">
        <v>0.0</v>
      </c>
      <c r="N15" s="2">
        <v>0.0</v>
      </c>
      <c r="O15" s="2" t="s">
        <v>181</v>
      </c>
      <c r="P15" s="2" t="s">
        <v>68</v>
      </c>
      <c r="Q15" s="2" t="s">
        <v>199</v>
      </c>
      <c r="R15" s="2" t="s">
        <v>200</v>
      </c>
      <c r="S15" s="2" t="s">
        <v>201</v>
      </c>
      <c r="T15" s="2" t="s">
        <v>202</v>
      </c>
      <c r="U15" s="2">
        <v>6.0</v>
      </c>
    </row>
    <row r="16">
      <c r="A16" s="2" t="s">
        <v>182</v>
      </c>
      <c r="B16" s="2" t="s">
        <v>103</v>
      </c>
      <c r="C16" s="2" t="s">
        <v>203</v>
      </c>
      <c r="D16" s="2" t="s">
        <v>44</v>
      </c>
      <c r="E16" s="2" t="s">
        <v>206</v>
      </c>
      <c r="F16" s="2" t="s">
        <v>157</v>
      </c>
      <c r="G16" s="2" t="s">
        <v>45</v>
      </c>
      <c r="H16" s="2" t="s">
        <v>154</v>
      </c>
      <c r="I16" s="5">
        <v>46109.0</v>
      </c>
      <c r="J16" s="2" t="s">
        <v>62</v>
      </c>
      <c r="K16" s="2" t="s">
        <v>207</v>
      </c>
      <c r="L16" s="2" t="s">
        <v>41</v>
      </c>
      <c r="M16" s="2">
        <v>0.0</v>
      </c>
      <c r="N16" s="2" t="s">
        <v>48</v>
      </c>
      <c r="O16" s="2" t="s">
        <v>49</v>
      </c>
      <c r="P16" s="2" t="s">
        <v>49</v>
      </c>
      <c r="Q16" s="2" t="s">
        <v>178</v>
      </c>
      <c r="R16" s="2" t="s">
        <v>208</v>
      </c>
      <c r="S16" s="2" t="s">
        <v>209</v>
      </c>
      <c r="T16" s="2" t="s">
        <v>211</v>
      </c>
      <c r="U16" s="2">
        <v>5.0</v>
      </c>
    </row>
    <row r="17">
      <c r="A17" s="2" t="s">
        <v>189</v>
      </c>
      <c r="B17" s="2" t="s">
        <v>58</v>
      </c>
      <c r="C17" s="5">
        <v>46269.0</v>
      </c>
      <c r="D17" s="2" t="s">
        <v>213</v>
      </c>
      <c r="E17" s="2" t="s">
        <v>214</v>
      </c>
      <c r="F17" s="2" t="s">
        <v>187</v>
      </c>
      <c r="G17" s="2" t="s">
        <v>92</v>
      </c>
      <c r="H17" s="2" t="s">
        <v>215</v>
      </c>
      <c r="I17" s="2" t="s">
        <v>216</v>
      </c>
      <c r="J17" s="2" t="s">
        <v>41</v>
      </c>
      <c r="K17" s="6">
        <v>46151.0</v>
      </c>
      <c r="L17" s="2" t="s">
        <v>217</v>
      </c>
      <c r="M17" s="2" t="s">
        <v>38</v>
      </c>
      <c r="N17" s="2" t="s">
        <v>218</v>
      </c>
      <c r="O17" s="2" t="s">
        <v>48</v>
      </c>
      <c r="P17" s="2" t="s">
        <v>93</v>
      </c>
      <c r="Q17" s="2" t="s">
        <v>220</v>
      </c>
      <c r="R17" s="2" t="s">
        <v>221</v>
      </c>
      <c r="S17" s="2" t="s">
        <v>222</v>
      </c>
      <c r="T17" s="5">
        <v>46026.0</v>
      </c>
      <c r="U17" s="2">
        <v>6.0</v>
      </c>
    </row>
    <row r="18">
      <c r="A18" s="2" t="s">
        <v>194</v>
      </c>
      <c r="B18" s="2" t="s">
        <v>143</v>
      </c>
      <c r="C18" s="6">
        <v>46332.0</v>
      </c>
      <c r="D18" s="2" t="s">
        <v>131</v>
      </c>
      <c r="E18" s="2" t="s">
        <v>223</v>
      </c>
      <c r="F18" s="5">
        <v>46037.0</v>
      </c>
      <c r="G18" s="2" t="s">
        <v>224</v>
      </c>
      <c r="H18" s="2" t="s">
        <v>225</v>
      </c>
      <c r="I18" s="2" t="s">
        <v>226</v>
      </c>
      <c r="J18" s="2" t="s">
        <v>92</v>
      </c>
      <c r="K18" s="2" t="s">
        <v>228</v>
      </c>
      <c r="L18" s="2" t="s">
        <v>157</v>
      </c>
      <c r="M18" s="2" t="s">
        <v>82</v>
      </c>
      <c r="N18" s="2" t="s">
        <v>203</v>
      </c>
      <c r="O18" s="2" t="s">
        <v>49</v>
      </c>
      <c r="P18" s="2" t="s">
        <v>81</v>
      </c>
      <c r="Q18" s="5">
        <v>46041.0</v>
      </c>
      <c r="R18" s="2" t="s">
        <v>229</v>
      </c>
      <c r="S18" s="5">
        <v>46115.0</v>
      </c>
      <c r="T18" s="5">
        <v>46200.0</v>
      </c>
      <c r="U18" s="2">
        <v>6.0</v>
      </c>
    </row>
    <row r="19">
      <c r="A19" s="2" t="s">
        <v>198</v>
      </c>
      <c r="B19" s="2" t="s">
        <v>73</v>
      </c>
      <c r="C19" s="6">
        <v>46300.0</v>
      </c>
      <c r="D19" s="2" t="s">
        <v>224</v>
      </c>
      <c r="E19" s="2" t="s">
        <v>230</v>
      </c>
      <c r="F19" s="2" t="s">
        <v>231</v>
      </c>
      <c r="G19" s="2" t="s">
        <v>49</v>
      </c>
      <c r="H19" s="2" t="s">
        <v>97</v>
      </c>
      <c r="I19" s="2" t="s">
        <v>233</v>
      </c>
      <c r="J19" s="2" t="s">
        <v>41</v>
      </c>
      <c r="K19" s="2" t="s">
        <v>234</v>
      </c>
      <c r="L19" s="2" t="s">
        <v>132</v>
      </c>
      <c r="M19" s="2" t="s">
        <v>49</v>
      </c>
      <c r="N19" s="2" t="s">
        <v>130</v>
      </c>
      <c r="O19" s="2" t="s">
        <v>48</v>
      </c>
      <c r="P19" s="2" t="s">
        <v>49</v>
      </c>
      <c r="Q19" s="2" t="s">
        <v>159</v>
      </c>
      <c r="R19" s="2" t="s">
        <v>235</v>
      </c>
      <c r="S19" s="2" t="s">
        <v>236</v>
      </c>
      <c r="T19" s="2" t="s">
        <v>99</v>
      </c>
      <c r="U19" s="2">
        <v>6.0</v>
      </c>
    </row>
    <row r="20">
      <c r="A20" s="2" t="s">
        <v>204</v>
      </c>
      <c r="B20" s="2" t="s">
        <v>205</v>
      </c>
      <c r="C20" s="2" t="s">
        <v>69</v>
      </c>
      <c r="E20" s="2" t="s">
        <v>238</v>
      </c>
      <c r="K20" s="2" t="s">
        <v>239</v>
      </c>
      <c r="Q20" s="2" t="s">
        <v>240</v>
      </c>
      <c r="R20" s="2" t="s">
        <v>241</v>
      </c>
      <c r="S20" s="2" t="s">
        <v>242</v>
      </c>
      <c r="T20" s="2" t="s">
        <v>243</v>
      </c>
      <c r="U20" s="2" t="s">
        <v>210</v>
      </c>
    </row>
    <row r="21">
      <c r="A21" s="2" t="s">
        <v>212</v>
      </c>
      <c r="B21" s="2" t="s">
        <v>134</v>
      </c>
      <c r="C21" s="2" t="s">
        <v>128</v>
      </c>
      <c r="D21" s="2" t="s">
        <v>83</v>
      </c>
      <c r="E21" s="2" t="s">
        <v>245</v>
      </c>
      <c r="F21" s="2" t="s">
        <v>51</v>
      </c>
      <c r="G21" s="2" t="s">
        <v>201</v>
      </c>
      <c r="H21" s="6">
        <v>46084.0</v>
      </c>
      <c r="I21" s="2" t="s">
        <v>147</v>
      </c>
      <c r="J21" s="2" t="s">
        <v>48</v>
      </c>
      <c r="K21" s="2" t="s">
        <v>246</v>
      </c>
      <c r="L21" s="2" t="s">
        <v>203</v>
      </c>
      <c r="M21" s="2" t="s">
        <v>130</v>
      </c>
      <c r="N21" s="2" t="s">
        <v>247</v>
      </c>
      <c r="O21" s="2" t="s">
        <v>80</v>
      </c>
      <c r="P21" s="2" t="s">
        <v>63</v>
      </c>
      <c r="Q21" s="5">
        <v>46169.0</v>
      </c>
      <c r="R21" s="2" t="s">
        <v>248</v>
      </c>
      <c r="S21" s="5">
        <v>46061.0</v>
      </c>
      <c r="T21" s="2" t="s">
        <v>249</v>
      </c>
      <c r="U21" s="2" t="s">
        <v>124</v>
      </c>
    </row>
    <row r="22">
      <c r="A22" s="2" t="s">
        <v>219</v>
      </c>
      <c r="B22" s="2" t="s">
        <v>103</v>
      </c>
      <c r="C22" s="5">
        <v>46300.0</v>
      </c>
      <c r="D22" s="2" t="s">
        <v>250</v>
      </c>
      <c r="E22" s="2" t="s">
        <v>251</v>
      </c>
      <c r="F22" s="2" t="s">
        <v>101</v>
      </c>
      <c r="G22" s="2" t="s">
        <v>252</v>
      </c>
      <c r="H22" s="2" t="s">
        <v>79</v>
      </c>
      <c r="I22" s="2" t="s">
        <v>254</v>
      </c>
      <c r="J22" s="2" t="s">
        <v>80</v>
      </c>
      <c r="K22" s="2" t="s">
        <v>255</v>
      </c>
      <c r="L22" s="2" t="s">
        <v>83</v>
      </c>
      <c r="M22" s="5">
        <v>46071.0</v>
      </c>
      <c r="N22" s="2" t="s">
        <v>256</v>
      </c>
      <c r="O22" s="2" t="s">
        <v>181</v>
      </c>
      <c r="P22" s="2" t="s">
        <v>69</v>
      </c>
      <c r="Q22" s="2" t="s">
        <v>257</v>
      </c>
      <c r="R22" s="2" t="s">
        <v>258</v>
      </c>
      <c r="S22" s="2" t="s">
        <v>218</v>
      </c>
      <c r="T22" s="2" t="s">
        <v>42</v>
      </c>
      <c r="U22" s="2">
        <v>5.0</v>
      </c>
    </row>
    <row r="23">
      <c r="A23" s="2" t="s">
        <v>227</v>
      </c>
      <c r="B23" s="2" t="s">
        <v>58</v>
      </c>
      <c r="C23" s="2" t="s">
        <v>260</v>
      </c>
      <c r="D23" s="2" t="s">
        <v>59</v>
      </c>
      <c r="E23" s="2" t="s">
        <v>261</v>
      </c>
      <c r="F23" s="2" t="s">
        <v>147</v>
      </c>
      <c r="G23" s="2" t="s">
        <v>81</v>
      </c>
      <c r="H23" s="2" t="s">
        <v>132</v>
      </c>
      <c r="I23" s="2" t="s">
        <v>262</v>
      </c>
      <c r="J23" s="2" t="s">
        <v>48</v>
      </c>
      <c r="K23" s="5">
        <v>46093.0</v>
      </c>
      <c r="L23" s="2" t="s">
        <v>38</v>
      </c>
      <c r="M23" s="2" t="s">
        <v>178</v>
      </c>
      <c r="N23" s="5">
        <v>46035.0</v>
      </c>
      <c r="O23" s="2">
        <v>0.0</v>
      </c>
      <c r="P23" s="2" t="s">
        <v>48</v>
      </c>
      <c r="Q23" s="2" t="s">
        <v>263</v>
      </c>
      <c r="R23" s="2" t="s">
        <v>265</v>
      </c>
      <c r="S23" s="5">
        <v>46030.0</v>
      </c>
      <c r="T23" s="2" t="s">
        <v>266</v>
      </c>
      <c r="U23" s="2">
        <v>5.0</v>
      </c>
    </row>
    <row r="24">
      <c r="A24" s="2" t="s">
        <v>232</v>
      </c>
      <c r="B24" s="2" t="s">
        <v>73</v>
      </c>
      <c r="C24" s="2">
        <v>2.0</v>
      </c>
      <c r="D24" s="2" t="s">
        <v>267</v>
      </c>
      <c r="E24" s="2" t="s">
        <v>268</v>
      </c>
      <c r="F24" s="2" t="s">
        <v>38</v>
      </c>
      <c r="G24" s="2" t="s">
        <v>131</v>
      </c>
      <c r="H24" s="2" t="s">
        <v>45</v>
      </c>
      <c r="I24" s="2" t="s">
        <v>269</v>
      </c>
      <c r="J24" s="2" t="s">
        <v>80</v>
      </c>
      <c r="K24" s="2" t="s">
        <v>260</v>
      </c>
      <c r="L24" s="2" t="s">
        <v>69</v>
      </c>
      <c r="M24" s="2" t="s">
        <v>271</v>
      </c>
      <c r="N24" s="2" t="s">
        <v>147</v>
      </c>
      <c r="O24" s="2" t="s">
        <v>81</v>
      </c>
      <c r="P24" s="2" t="s">
        <v>48</v>
      </c>
      <c r="Q24" s="2" t="s">
        <v>272</v>
      </c>
      <c r="R24" s="2" t="s">
        <v>200</v>
      </c>
      <c r="S24" s="5">
        <v>46074.0</v>
      </c>
      <c r="T24" s="5">
        <v>46023.0</v>
      </c>
      <c r="U24" s="2" t="s">
        <v>124</v>
      </c>
    </row>
    <row r="25">
      <c r="A25" s="2" t="s">
        <v>237</v>
      </c>
      <c r="B25" s="2" t="s">
        <v>103</v>
      </c>
      <c r="C25" s="2" t="s">
        <v>273</v>
      </c>
      <c r="D25" s="2" t="s">
        <v>167</v>
      </c>
      <c r="E25" s="2" t="s">
        <v>274</v>
      </c>
      <c r="F25" s="2" t="s">
        <v>275</v>
      </c>
      <c r="G25" s="2" t="s">
        <v>170</v>
      </c>
      <c r="H25" s="2" t="s">
        <v>77</v>
      </c>
      <c r="I25" s="2" t="s">
        <v>215</v>
      </c>
      <c r="J25" s="2" t="s">
        <v>49</v>
      </c>
      <c r="K25" s="5">
        <v>46092.0</v>
      </c>
      <c r="L25" s="2">
        <v>1.0</v>
      </c>
      <c r="M25" s="2">
        <v>1.0</v>
      </c>
      <c r="N25" s="2" t="s">
        <v>277</v>
      </c>
      <c r="O25" s="2" t="s">
        <v>79</v>
      </c>
      <c r="P25" s="2" t="s">
        <v>93</v>
      </c>
      <c r="Q25" s="6">
        <v>46273.0</v>
      </c>
      <c r="R25" s="2" t="s">
        <v>278</v>
      </c>
      <c r="S25" s="5">
        <v>46030.0</v>
      </c>
      <c r="T25" s="2" t="s">
        <v>130</v>
      </c>
      <c r="U25" s="2">
        <v>5.0</v>
      </c>
    </row>
    <row r="26">
      <c r="A26" s="2" t="s">
        <v>244</v>
      </c>
      <c r="B26" s="2" t="s">
        <v>103</v>
      </c>
      <c r="C26" s="2" t="s">
        <v>82</v>
      </c>
      <c r="K26" s="2" t="s">
        <v>280</v>
      </c>
      <c r="Q26" s="6">
        <v>46058.0</v>
      </c>
      <c r="R26" s="2" t="s">
        <v>281</v>
      </c>
      <c r="S26" s="2" t="s">
        <v>282</v>
      </c>
      <c r="T26" s="5">
        <v>46026.0</v>
      </c>
      <c r="U26" s="2" t="s">
        <v>210</v>
      </c>
    </row>
    <row r="27">
      <c r="A27" s="2" t="s">
        <v>253</v>
      </c>
      <c r="B27" s="2" t="s">
        <v>134</v>
      </c>
      <c r="C27" s="2" t="s">
        <v>283</v>
      </c>
      <c r="D27" s="2" t="s">
        <v>170</v>
      </c>
      <c r="E27" s="2" t="s">
        <v>284</v>
      </c>
      <c r="F27" s="2" t="s">
        <v>285</v>
      </c>
      <c r="G27" s="2" t="s">
        <v>240</v>
      </c>
      <c r="H27" s="2" t="s">
        <v>97</v>
      </c>
      <c r="I27" s="5">
        <v>46105.0</v>
      </c>
      <c r="J27" s="2" t="s">
        <v>93</v>
      </c>
      <c r="K27" s="6">
        <v>46118.0</v>
      </c>
      <c r="L27" s="2" t="s">
        <v>48</v>
      </c>
      <c r="M27" s="2" t="s">
        <v>80</v>
      </c>
      <c r="N27" s="2" t="s">
        <v>287</v>
      </c>
      <c r="O27" s="5">
        <v>46046.0</v>
      </c>
      <c r="P27" s="2" t="s">
        <v>82</v>
      </c>
      <c r="Q27" s="2" t="s">
        <v>288</v>
      </c>
      <c r="R27" s="2" t="s">
        <v>289</v>
      </c>
      <c r="S27" s="2" t="s">
        <v>290</v>
      </c>
      <c r="T27" s="2" t="s">
        <v>234</v>
      </c>
      <c r="U27" s="2" t="s">
        <v>164</v>
      </c>
    </row>
    <row r="28">
      <c r="A28" s="2" t="s">
        <v>259</v>
      </c>
      <c r="B28" s="2" t="s">
        <v>143</v>
      </c>
      <c r="C28" s="5">
        <v>46231.0</v>
      </c>
      <c r="D28" s="2" t="s">
        <v>61</v>
      </c>
      <c r="E28" s="2" t="s">
        <v>292</v>
      </c>
      <c r="F28" s="2" t="s">
        <v>77</v>
      </c>
      <c r="G28" s="2" t="s">
        <v>240</v>
      </c>
      <c r="H28" s="2" t="s">
        <v>293</v>
      </c>
      <c r="I28" s="6">
        <v>46061.0</v>
      </c>
      <c r="J28" s="2" t="s">
        <v>82</v>
      </c>
      <c r="K28" s="2" t="s">
        <v>294</v>
      </c>
      <c r="L28" s="2" t="s">
        <v>172</v>
      </c>
      <c r="M28" s="2" t="s">
        <v>41</v>
      </c>
      <c r="N28" s="5">
        <v>46024.0</v>
      </c>
      <c r="O28" s="2" t="s">
        <v>92</v>
      </c>
      <c r="P28" s="2" t="s">
        <v>240</v>
      </c>
      <c r="Q28" s="2" t="s">
        <v>280</v>
      </c>
      <c r="R28" s="2" t="s">
        <v>296</v>
      </c>
      <c r="S28" s="2" t="s">
        <v>202</v>
      </c>
      <c r="T28" s="5">
        <v>46038.0</v>
      </c>
      <c r="U28" s="2">
        <v>5.0</v>
      </c>
    </row>
    <row r="29">
      <c r="A29" s="2" t="s">
        <v>264</v>
      </c>
      <c r="B29" s="2" t="s">
        <v>73</v>
      </c>
      <c r="C29" s="2" t="s">
        <v>297</v>
      </c>
      <c r="D29" s="2" t="s">
        <v>298</v>
      </c>
      <c r="E29" s="2" t="s">
        <v>299</v>
      </c>
      <c r="F29" s="2" t="s">
        <v>300</v>
      </c>
      <c r="G29" s="2" t="s">
        <v>79</v>
      </c>
      <c r="H29" s="2" t="s">
        <v>302</v>
      </c>
      <c r="I29" s="2" t="s">
        <v>92</v>
      </c>
      <c r="J29" s="2" t="s">
        <v>82</v>
      </c>
      <c r="K29" s="5">
        <v>46043.0</v>
      </c>
      <c r="L29" s="2" t="s">
        <v>51</v>
      </c>
      <c r="M29" s="2" t="s">
        <v>79</v>
      </c>
      <c r="N29" s="2" t="s">
        <v>63</v>
      </c>
      <c r="O29" s="2">
        <v>0.0</v>
      </c>
      <c r="P29" s="2" t="s">
        <v>181</v>
      </c>
      <c r="Q29" s="2" t="s">
        <v>303</v>
      </c>
      <c r="R29" s="2" t="s">
        <v>304</v>
      </c>
      <c r="S29" s="2" t="s">
        <v>305</v>
      </c>
      <c r="T29" s="5">
        <v>46045.0</v>
      </c>
      <c r="U29" s="2">
        <v>5.0</v>
      </c>
    </row>
    <row r="30">
      <c r="A30" s="2" t="s">
        <v>270</v>
      </c>
      <c r="B30" s="2" t="s">
        <v>73</v>
      </c>
      <c r="C30" s="2" t="s">
        <v>307</v>
      </c>
      <c r="D30" s="2" t="s">
        <v>298</v>
      </c>
      <c r="E30" s="2" t="s">
        <v>308</v>
      </c>
      <c r="F30" s="2" t="s">
        <v>66</v>
      </c>
      <c r="G30" s="2" t="s">
        <v>68</v>
      </c>
      <c r="H30" s="2" t="s">
        <v>123</v>
      </c>
      <c r="I30" s="2" t="s">
        <v>49</v>
      </c>
      <c r="J30" s="2">
        <v>0.0</v>
      </c>
      <c r="K30" s="2" t="s">
        <v>213</v>
      </c>
      <c r="L30" s="2" t="s">
        <v>40</v>
      </c>
      <c r="M30" s="2" t="s">
        <v>68</v>
      </c>
      <c r="N30" s="2" t="s">
        <v>80</v>
      </c>
      <c r="O30" s="2" t="s">
        <v>80</v>
      </c>
      <c r="P30" s="2" t="s">
        <v>82</v>
      </c>
      <c r="Q30" s="2" t="s">
        <v>310</v>
      </c>
      <c r="R30" s="2" t="s">
        <v>311</v>
      </c>
      <c r="S30" s="2" t="s">
        <v>36</v>
      </c>
      <c r="T30" s="2" t="s">
        <v>312</v>
      </c>
      <c r="U30" s="2">
        <v>4.0</v>
      </c>
    </row>
    <row r="31">
      <c r="A31" s="2" t="s">
        <v>276</v>
      </c>
      <c r="B31" s="2" t="s">
        <v>73</v>
      </c>
      <c r="C31" s="2" t="s">
        <v>231</v>
      </c>
      <c r="D31" s="2" t="s">
        <v>96</v>
      </c>
      <c r="E31" s="2" t="s">
        <v>314</v>
      </c>
      <c r="K31" s="2" t="s">
        <v>136</v>
      </c>
      <c r="Q31" s="2" t="s">
        <v>275</v>
      </c>
      <c r="R31" s="2" t="s">
        <v>316</v>
      </c>
      <c r="S31" s="2" t="s">
        <v>317</v>
      </c>
      <c r="T31" s="6">
        <v>46118.0</v>
      </c>
      <c r="U31" s="2" t="s">
        <v>210</v>
      </c>
    </row>
    <row r="32">
      <c r="A32" s="2" t="s">
        <v>279</v>
      </c>
      <c r="B32" s="2" t="s">
        <v>134</v>
      </c>
      <c r="C32" s="2" t="s">
        <v>318</v>
      </c>
      <c r="D32" s="2" t="s">
        <v>65</v>
      </c>
      <c r="E32" s="2" t="s">
        <v>319</v>
      </c>
      <c r="K32" s="5">
        <v>46043.0</v>
      </c>
      <c r="Q32" s="6">
        <v>46031.0</v>
      </c>
      <c r="R32" s="2" t="s">
        <v>320</v>
      </c>
      <c r="S32" s="2" t="s">
        <v>305</v>
      </c>
      <c r="T32" s="5">
        <v>46033.0</v>
      </c>
      <c r="U32" s="2" t="s">
        <v>210</v>
      </c>
    </row>
    <row r="33">
      <c r="A33" s="2" t="s">
        <v>286</v>
      </c>
      <c r="B33" s="2" t="s">
        <v>73</v>
      </c>
      <c r="C33" s="2" t="s">
        <v>321</v>
      </c>
      <c r="D33" s="2" t="s">
        <v>51</v>
      </c>
      <c r="E33" s="2" t="s">
        <v>323</v>
      </c>
      <c r="F33" s="2" t="s">
        <v>100</v>
      </c>
      <c r="G33" s="2" t="s">
        <v>114</v>
      </c>
      <c r="H33" s="2" t="s">
        <v>66</v>
      </c>
      <c r="I33" s="2" t="s">
        <v>178</v>
      </c>
      <c r="J33" s="2" t="s">
        <v>41</v>
      </c>
      <c r="K33" s="5">
        <v>46039.0</v>
      </c>
      <c r="L33" s="2" t="s">
        <v>65</v>
      </c>
      <c r="M33" s="2" t="s">
        <v>114</v>
      </c>
      <c r="N33" s="2" t="s">
        <v>249</v>
      </c>
      <c r="O33" s="2" t="s">
        <v>41</v>
      </c>
      <c r="P33" s="2" t="s">
        <v>181</v>
      </c>
      <c r="Q33" s="2" t="s">
        <v>252</v>
      </c>
      <c r="R33" s="2" t="s">
        <v>88</v>
      </c>
      <c r="S33" s="2" t="s">
        <v>324</v>
      </c>
      <c r="T33" s="2" t="s">
        <v>267</v>
      </c>
      <c r="U33" s="2">
        <v>6.0</v>
      </c>
    </row>
    <row r="34">
      <c r="A34" s="2" t="s">
        <v>291</v>
      </c>
      <c r="B34" s="2" t="s">
        <v>205</v>
      </c>
      <c r="C34" s="2" t="s">
        <v>325</v>
      </c>
      <c r="D34" s="2" t="s">
        <v>215</v>
      </c>
      <c r="E34" s="2" t="s">
        <v>326</v>
      </c>
      <c r="F34" s="2" t="s">
        <v>317</v>
      </c>
      <c r="G34" s="2" t="s">
        <v>90</v>
      </c>
      <c r="H34" s="5">
        <v>46024.0</v>
      </c>
      <c r="I34" s="2">
        <v>5.0</v>
      </c>
      <c r="J34" s="2" t="s">
        <v>92</v>
      </c>
      <c r="K34" s="5">
        <v>46251.0</v>
      </c>
      <c r="L34" s="5">
        <v>46092.0</v>
      </c>
      <c r="M34" s="2" t="s">
        <v>67</v>
      </c>
      <c r="N34" s="5">
        <v>46277.0</v>
      </c>
      <c r="O34" s="2" t="s">
        <v>328</v>
      </c>
      <c r="P34" s="2" t="s">
        <v>68</v>
      </c>
      <c r="Q34" s="2" t="s">
        <v>329</v>
      </c>
      <c r="R34" s="2" t="s">
        <v>330</v>
      </c>
      <c r="S34" s="2" t="s">
        <v>331</v>
      </c>
      <c r="T34" s="2" t="s">
        <v>233</v>
      </c>
      <c r="U34" s="2">
        <v>5.0</v>
      </c>
    </row>
    <row r="35">
      <c r="A35" s="2" t="s">
        <v>295</v>
      </c>
      <c r="B35" s="2" t="s">
        <v>103</v>
      </c>
      <c r="C35" s="2" t="s">
        <v>69</v>
      </c>
      <c r="F35" s="2" t="s">
        <v>302</v>
      </c>
      <c r="G35" s="2" t="s">
        <v>123</v>
      </c>
      <c r="H35" s="5">
        <v>46045.0</v>
      </c>
      <c r="I35" s="2" t="s">
        <v>332</v>
      </c>
      <c r="J35" s="2" t="s">
        <v>181</v>
      </c>
      <c r="K35" s="2" t="s">
        <v>333</v>
      </c>
      <c r="L35" s="2">
        <v>0.0</v>
      </c>
      <c r="M35" s="2" t="s">
        <v>48</v>
      </c>
      <c r="N35" s="2" t="s">
        <v>178</v>
      </c>
      <c r="O35" s="2" t="s">
        <v>149</v>
      </c>
      <c r="P35" s="2">
        <v>0.0</v>
      </c>
      <c r="Q35" s="2" t="s">
        <v>310</v>
      </c>
      <c r="R35" s="2" t="s">
        <v>334</v>
      </c>
      <c r="S35" s="5">
        <v>46107.0</v>
      </c>
      <c r="T35" s="2" t="s">
        <v>335</v>
      </c>
      <c r="U35" s="2" t="s">
        <v>164</v>
      </c>
    </row>
    <row r="36">
      <c r="A36" s="2" t="s">
        <v>301</v>
      </c>
      <c r="B36" s="2" t="s">
        <v>73</v>
      </c>
      <c r="C36" s="2" t="s">
        <v>337</v>
      </c>
      <c r="D36" s="2" t="s">
        <v>101</v>
      </c>
      <c r="E36" s="2" t="s">
        <v>338</v>
      </c>
      <c r="F36" s="2" t="s">
        <v>38</v>
      </c>
      <c r="G36" s="2" t="s">
        <v>65</v>
      </c>
      <c r="H36" s="2" t="s">
        <v>97</v>
      </c>
      <c r="I36" s="2" t="s">
        <v>41</v>
      </c>
      <c r="J36" s="2" t="s">
        <v>48</v>
      </c>
      <c r="K36" s="5">
        <v>46046.0</v>
      </c>
      <c r="L36" s="2" t="s">
        <v>67</v>
      </c>
      <c r="M36" s="2" t="s">
        <v>138</v>
      </c>
      <c r="N36" s="2" t="s">
        <v>339</v>
      </c>
      <c r="O36" s="2">
        <v>0.0</v>
      </c>
      <c r="P36" s="2" t="s">
        <v>49</v>
      </c>
      <c r="Q36" s="2" t="s">
        <v>340</v>
      </c>
      <c r="R36" s="2" t="s">
        <v>341</v>
      </c>
      <c r="S36" s="2" t="s">
        <v>186</v>
      </c>
      <c r="T36" s="2" t="s">
        <v>78</v>
      </c>
      <c r="U36" s="2">
        <v>6.0</v>
      </c>
    </row>
    <row r="37">
      <c r="A37" s="2" t="s">
        <v>306</v>
      </c>
      <c r="B37" s="2" t="s">
        <v>73</v>
      </c>
      <c r="C37" s="2" t="s">
        <v>342</v>
      </c>
      <c r="D37" s="2" t="s">
        <v>298</v>
      </c>
      <c r="E37" s="2" t="s">
        <v>343</v>
      </c>
      <c r="F37" s="2" t="s">
        <v>302</v>
      </c>
      <c r="G37" s="2" t="s">
        <v>167</v>
      </c>
      <c r="H37" s="2" t="s">
        <v>81</v>
      </c>
      <c r="I37" s="2" t="s">
        <v>80</v>
      </c>
      <c r="J37" s="2" t="s">
        <v>80</v>
      </c>
      <c r="K37" s="2" t="s">
        <v>317</v>
      </c>
      <c r="L37" s="2" t="s">
        <v>293</v>
      </c>
      <c r="M37" s="5">
        <v>46037.0</v>
      </c>
      <c r="N37" s="2" t="s">
        <v>283</v>
      </c>
      <c r="O37" s="2" t="s">
        <v>68</v>
      </c>
      <c r="P37" s="2" t="s">
        <v>181</v>
      </c>
      <c r="Q37" s="6">
        <v>46056.0</v>
      </c>
      <c r="R37" s="2" t="s">
        <v>138</v>
      </c>
      <c r="S37" s="2" t="s">
        <v>344</v>
      </c>
      <c r="T37" s="2" t="s">
        <v>186</v>
      </c>
      <c r="U37" s="2">
        <v>6.0</v>
      </c>
    </row>
    <row r="38">
      <c r="A38" s="2" t="s">
        <v>309</v>
      </c>
      <c r="B38" s="2" t="s">
        <v>103</v>
      </c>
      <c r="C38" s="2" t="s">
        <v>345</v>
      </c>
      <c r="D38" s="2" t="s">
        <v>111</v>
      </c>
      <c r="E38" s="2" t="s">
        <v>347</v>
      </c>
      <c r="F38" s="2" t="s">
        <v>348</v>
      </c>
      <c r="G38" s="2" t="s">
        <v>90</v>
      </c>
      <c r="H38" s="2" t="s">
        <v>225</v>
      </c>
      <c r="I38" s="6">
        <v>46057.0</v>
      </c>
      <c r="J38" s="2" t="s">
        <v>63</v>
      </c>
      <c r="K38" s="2" t="s">
        <v>349</v>
      </c>
      <c r="L38" s="2" t="s">
        <v>300</v>
      </c>
      <c r="M38" s="2" t="s">
        <v>123</v>
      </c>
      <c r="N38" s="5">
        <v>46072.0</v>
      </c>
      <c r="O38" s="2" t="s">
        <v>199</v>
      </c>
      <c r="P38" s="2" t="s">
        <v>91</v>
      </c>
      <c r="Q38" s="2" t="s">
        <v>350</v>
      </c>
      <c r="R38" s="2" t="s">
        <v>351</v>
      </c>
      <c r="S38" s="2" t="s">
        <v>136</v>
      </c>
      <c r="T38" s="5">
        <v>46024.0</v>
      </c>
      <c r="U38" s="2">
        <v>6.0</v>
      </c>
    </row>
    <row r="39">
      <c r="A39" s="2" t="s">
        <v>313</v>
      </c>
      <c r="B39" s="2" t="s">
        <v>134</v>
      </c>
      <c r="C39" s="7" t="s">
        <v>352</v>
      </c>
      <c r="D39" s="2" t="s">
        <v>186</v>
      </c>
      <c r="E39" s="2" t="s">
        <v>354</v>
      </c>
      <c r="F39" s="2" t="s">
        <v>65</v>
      </c>
      <c r="G39" s="2" t="s">
        <v>240</v>
      </c>
      <c r="H39" s="2" t="s">
        <v>178</v>
      </c>
      <c r="I39" s="2" t="s">
        <v>355</v>
      </c>
      <c r="J39" s="2" t="s">
        <v>41</v>
      </c>
      <c r="K39" s="2" t="s">
        <v>356</v>
      </c>
      <c r="L39" s="2" t="s">
        <v>36</v>
      </c>
      <c r="M39" s="2" t="s">
        <v>114</v>
      </c>
      <c r="N39" s="2" t="s">
        <v>62</v>
      </c>
      <c r="O39" s="2" t="s">
        <v>49</v>
      </c>
      <c r="P39" s="2" t="s">
        <v>92</v>
      </c>
      <c r="Q39" s="2" t="s">
        <v>107</v>
      </c>
      <c r="R39" s="2" t="s">
        <v>357</v>
      </c>
      <c r="S39" s="2" t="s">
        <v>358</v>
      </c>
      <c r="T39" s="2" t="s">
        <v>359</v>
      </c>
      <c r="U39" s="2">
        <v>6.0</v>
      </c>
    </row>
    <row r="40">
      <c r="A40" s="2" t="s">
        <v>315</v>
      </c>
      <c r="B40" s="2" t="s">
        <v>103</v>
      </c>
      <c r="C40" s="2" t="s">
        <v>360</v>
      </c>
      <c r="D40" s="2" t="s">
        <v>186</v>
      </c>
      <c r="E40" s="2" t="s">
        <v>361</v>
      </c>
      <c r="F40" s="2" t="s">
        <v>293</v>
      </c>
      <c r="G40" s="2" t="s">
        <v>191</v>
      </c>
      <c r="H40" s="2" t="s">
        <v>78</v>
      </c>
      <c r="I40" s="2" t="s">
        <v>254</v>
      </c>
      <c r="J40" s="2" t="s">
        <v>82</v>
      </c>
      <c r="K40" s="2" t="s">
        <v>71</v>
      </c>
      <c r="L40" s="2" t="s">
        <v>62</v>
      </c>
      <c r="M40" s="5">
        <v>46035.0</v>
      </c>
      <c r="N40" s="6">
        <v>46062.0</v>
      </c>
      <c r="O40" s="2" t="s">
        <v>68</v>
      </c>
      <c r="P40" s="2" t="s">
        <v>93</v>
      </c>
      <c r="Q40" s="5">
        <v>46087.0</v>
      </c>
      <c r="R40" s="2" t="s">
        <v>363</v>
      </c>
      <c r="S40" s="6">
        <v>46030.0</v>
      </c>
      <c r="T40" s="2" t="s">
        <v>88</v>
      </c>
      <c r="U40" s="2">
        <v>6.0</v>
      </c>
    </row>
    <row r="41">
      <c r="A41" s="2" t="s">
        <v>322</v>
      </c>
      <c r="B41" s="2" t="s">
        <v>73</v>
      </c>
      <c r="C41" s="2" t="s">
        <v>186</v>
      </c>
      <c r="D41" s="2" t="s">
        <v>51</v>
      </c>
      <c r="E41" s="2" t="s">
        <v>364</v>
      </c>
      <c r="F41" s="2" t="s">
        <v>90</v>
      </c>
      <c r="G41" s="2" t="s">
        <v>82</v>
      </c>
      <c r="H41" s="2" t="s">
        <v>42</v>
      </c>
      <c r="I41" s="2" t="s">
        <v>63</v>
      </c>
      <c r="J41" s="2" t="s">
        <v>63</v>
      </c>
      <c r="K41" s="6">
        <v>46025.0</v>
      </c>
      <c r="L41" s="2" t="s">
        <v>365</v>
      </c>
      <c r="M41" s="2" t="s">
        <v>80</v>
      </c>
      <c r="N41" s="2" t="s">
        <v>48</v>
      </c>
      <c r="O41" s="2" t="s">
        <v>68</v>
      </c>
      <c r="P41" s="2">
        <v>0.0</v>
      </c>
      <c r="Q41" s="2" t="s">
        <v>310</v>
      </c>
      <c r="R41" s="2" t="s">
        <v>367</v>
      </c>
      <c r="S41" s="2" t="s">
        <v>83</v>
      </c>
      <c r="T41" s="5">
        <v>46098.0</v>
      </c>
      <c r="U41" s="2" t="s">
        <v>124</v>
      </c>
    </row>
    <row r="42">
      <c r="A42" s="2" t="s">
        <v>327</v>
      </c>
      <c r="B42" s="2" t="s">
        <v>73</v>
      </c>
      <c r="C42" s="2" t="s">
        <v>368</v>
      </c>
      <c r="D42" s="2" t="s">
        <v>138</v>
      </c>
      <c r="E42" s="2" t="s">
        <v>369</v>
      </c>
      <c r="F42" s="2" t="s">
        <v>62</v>
      </c>
      <c r="G42" s="2" t="s">
        <v>93</v>
      </c>
      <c r="H42" s="2" t="s">
        <v>199</v>
      </c>
      <c r="I42" s="2" t="s">
        <v>300</v>
      </c>
      <c r="J42" s="2" t="s">
        <v>114</v>
      </c>
      <c r="K42" s="5">
        <v>46051.0</v>
      </c>
      <c r="L42" s="2" t="s">
        <v>240</v>
      </c>
      <c r="M42" s="6">
        <v>46087.0</v>
      </c>
      <c r="N42" s="2" t="s">
        <v>370</v>
      </c>
      <c r="O42" s="2" t="s">
        <v>293</v>
      </c>
      <c r="P42" s="2" t="s">
        <v>82</v>
      </c>
      <c r="Q42" s="2" t="s">
        <v>371</v>
      </c>
      <c r="R42" s="2" t="s">
        <v>372</v>
      </c>
      <c r="S42" s="2" t="s">
        <v>128</v>
      </c>
      <c r="T42" s="2" t="s">
        <v>92</v>
      </c>
      <c r="U42" s="2">
        <v>5.0</v>
      </c>
    </row>
    <row r="43">
      <c r="A43" s="2" t="s">
        <v>336</v>
      </c>
      <c r="B43" s="2" t="s">
        <v>73</v>
      </c>
      <c r="C43" s="2" t="s">
        <v>373</v>
      </c>
      <c r="D43" s="2" t="s">
        <v>201</v>
      </c>
      <c r="E43" s="2" t="s">
        <v>374</v>
      </c>
      <c r="F43" s="2" t="s">
        <v>91</v>
      </c>
      <c r="G43" s="2" t="s">
        <v>80</v>
      </c>
      <c r="H43" s="2" t="s">
        <v>233</v>
      </c>
      <c r="I43" s="2" t="s">
        <v>68</v>
      </c>
      <c r="J43" s="2" t="s">
        <v>80</v>
      </c>
      <c r="K43" s="2" t="s">
        <v>162</v>
      </c>
      <c r="L43" s="2" t="s">
        <v>240</v>
      </c>
      <c r="M43" s="2" t="s">
        <v>310</v>
      </c>
      <c r="N43" s="2" t="s">
        <v>136</v>
      </c>
      <c r="O43" s="2" t="s">
        <v>181</v>
      </c>
      <c r="P43" s="2" t="s">
        <v>181</v>
      </c>
      <c r="Q43" s="6">
        <v>46088.0</v>
      </c>
      <c r="R43" s="5">
        <v>46078.0</v>
      </c>
      <c r="S43" s="2" t="s">
        <v>300</v>
      </c>
      <c r="T43" s="2" t="s">
        <v>81</v>
      </c>
      <c r="U43" s="2">
        <v>6.0</v>
      </c>
    </row>
    <row r="44">
      <c r="A44" s="2" t="s">
        <v>346</v>
      </c>
      <c r="B44" s="2" t="s">
        <v>103</v>
      </c>
      <c r="C44" s="5">
        <v>46120.0</v>
      </c>
      <c r="D44" s="2" t="s">
        <v>376</v>
      </c>
      <c r="E44" s="2" t="s">
        <v>377</v>
      </c>
      <c r="F44" s="2" t="s">
        <v>378</v>
      </c>
      <c r="G44" s="2" t="s">
        <v>66</v>
      </c>
      <c r="H44" s="2" t="s">
        <v>324</v>
      </c>
      <c r="I44" s="2" t="s">
        <v>379</v>
      </c>
      <c r="J44" s="2" t="s">
        <v>41</v>
      </c>
      <c r="K44" s="2" t="s">
        <v>380</v>
      </c>
      <c r="L44" s="2" t="s">
        <v>199</v>
      </c>
      <c r="M44" s="2" t="s">
        <v>38</v>
      </c>
      <c r="N44" s="2" t="s">
        <v>147</v>
      </c>
      <c r="O44" s="2" t="s">
        <v>92</v>
      </c>
      <c r="P44" s="2" t="s">
        <v>114</v>
      </c>
      <c r="Q44" s="2" t="s">
        <v>381</v>
      </c>
      <c r="R44" s="2" t="s">
        <v>382</v>
      </c>
      <c r="S44" s="2" t="s">
        <v>383</v>
      </c>
      <c r="T44" s="2" t="s">
        <v>117</v>
      </c>
      <c r="U44" s="2">
        <v>5.0</v>
      </c>
    </row>
    <row r="45">
      <c r="A45" s="2" t="s">
        <v>353</v>
      </c>
      <c r="B45" s="2" t="s">
        <v>73</v>
      </c>
      <c r="C45" s="2" t="s">
        <v>384</v>
      </c>
      <c r="E45" s="2" t="s">
        <v>385</v>
      </c>
      <c r="F45" s="2" t="s">
        <v>233</v>
      </c>
      <c r="G45" s="2" t="s">
        <v>69</v>
      </c>
      <c r="H45" s="2" t="s">
        <v>62</v>
      </c>
      <c r="I45" s="2" t="s">
        <v>97</v>
      </c>
      <c r="J45" s="2" t="s">
        <v>154</v>
      </c>
      <c r="K45" s="5">
        <v>46049.0</v>
      </c>
      <c r="L45" s="2" t="s">
        <v>159</v>
      </c>
      <c r="M45" s="2" t="s">
        <v>38</v>
      </c>
      <c r="N45" s="2" t="s">
        <v>224</v>
      </c>
      <c r="O45" s="2" t="s">
        <v>49</v>
      </c>
      <c r="P45" s="2" t="s">
        <v>41</v>
      </c>
      <c r="Q45" s="2" t="s">
        <v>387</v>
      </c>
      <c r="R45" s="2" t="s">
        <v>233</v>
      </c>
      <c r="S45" s="2" t="s">
        <v>128</v>
      </c>
      <c r="T45" s="2" t="s">
        <v>186</v>
      </c>
      <c r="U45" s="2">
        <v>6.0</v>
      </c>
    </row>
    <row r="46">
      <c r="A46" s="2" t="s">
        <v>362</v>
      </c>
      <c r="B46" s="2" t="s">
        <v>58</v>
      </c>
      <c r="C46" s="2" t="s">
        <v>388</v>
      </c>
      <c r="D46" s="2" t="s">
        <v>162</v>
      </c>
      <c r="E46" s="2" t="s">
        <v>389</v>
      </c>
      <c r="F46" s="2" t="s">
        <v>128</v>
      </c>
      <c r="G46" s="2" t="s">
        <v>240</v>
      </c>
      <c r="H46" s="2" t="s">
        <v>186</v>
      </c>
      <c r="I46" s="5">
        <v>46074.0</v>
      </c>
      <c r="J46" s="2" t="s">
        <v>69</v>
      </c>
      <c r="K46" s="2" t="s">
        <v>390</v>
      </c>
      <c r="L46" s="2" t="s">
        <v>324</v>
      </c>
      <c r="M46" s="2" t="s">
        <v>178</v>
      </c>
      <c r="N46" s="2" t="s">
        <v>391</v>
      </c>
      <c r="O46" s="2" t="s">
        <v>90</v>
      </c>
      <c r="P46" s="2" t="s">
        <v>69</v>
      </c>
      <c r="Q46" s="5">
        <v>46061.0</v>
      </c>
      <c r="R46" s="2" t="s">
        <v>392</v>
      </c>
      <c r="S46" s="5">
        <v>46080.0</v>
      </c>
      <c r="T46" s="5">
        <v>46026.0</v>
      </c>
      <c r="U46" s="2">
        <v>6.0</v>
      </c>
    </row>
    <row r="47">
      <c r="A47" s="2" t="s">
        <v>366</v>
      </c>
      <c r="B47" s="2" t="s">
        <v>103</v>
      </c>
      <c r="C47" s="5">
        <v>46353.0</v>
      </c>
      <c r="D47" s="2" t="s">
        <v>394</v>
      </c>
      <c r="E47" s="2" t="s">
        <v>395</v>
      </c>
      <c r="F47" s="2" t="s">
        <v>224</v>
      </c>
      <c r="G47" s="2" t="s">
        <v>149</v>
      </c>
      <c r="H47" s="2" t="s">
        <v>93</v>
      </c>
      <c r="I47" s="5">
        <v>46045.0</v>
      </c>
      <c r="J47" s="2" t="s">
        <v>48</v>
      </c>
      <c r="K47" s="2" t="s">
        <v>358</v>
      </c>
      <c r="L47" s="2" t="s">
        <v>97</v>
      </c>
      <c r="M47" s="2" t="s">
        <v>93</v>
      </c>
      <c r="N47" s="2" t="s">
        <v>365</v>
      </c>
      <c r="O47" s="2" t="s">
        <v>78</v>
      </c>
      <c r="P47" s="2" t="s">
        <v>82</v>
      </c>
      <c r="Q47" s="2" t="s">
        <v>376</v>
      </c>
      <c r="R47" s="2" t="s">
        <v>289</v>
      </c>
      <c r="S47" s="5">
        <v>46035.0</v>
      </c>
      <c r="T47" s="2" t="s">
        <v>396</v>
      </c>
      <c r="U47" s="2">
        <v>6.0</v>
      </c>
    </row>
    <row r="48">
      <c r="A48" s="2" t="s">
        <v>375</v>
      </c>
      <c r="B48" s="2" t="s">
        <v>143</v>
      </c>
      <c r="C48" s="5">
        <v>46035.0</v>
      </c>
      <c r="D48" s="2" t="s">
        <v>170</v>
      </c>
      <c r="E48" s="2" t="s">
        <v>397</v>
      </c>
      <c r="F48" s="2" t="s">
        <v>394</v>
      </c>
      <c r="G48" s="2" t="s">
        <v>41</v>
      </c>
      <c r="H48" s="2" t="s">
        <v>365</v>
      </c>
      <c r="I48" s="2" t="s">
        <v>222</v>
      </c>
      <c r="J48" s="2" t="s">
        <v>154</v>
      </c>
      <c r="K48" s="5">
        <v>46133.0</v>
      </c>
      <c r="L48" s="2" t="s">
        <v>42</v>
      </c>
      <c r="M48" s="2">
        <v>0.0</v>
      </c>
      <c r="N48" s="2" t="s">
        <v>69</v>
      </c>
      <c r="O48" s="2" t="s">
        <v>69</v>
      </c>
      <c r="P48" s="2" t="s">
        <v>181</v>
      </c>
      <c r="Q48" s="2" t="s">
        <v>130</v>
      </c>
      <c r="R48" s="2" t="s">
        <v>399</v>
      </c>
      <c r="S48" s="2" t="s">
        <v>400</v>
      </c>
      <c r="T48" s="2" t="s">
        <v>401</v>
      </c>
      <c r="U48" s="2">
        <v>5.0</v>
      </c>
    </row>
    <row r="49">
      <c r="A49" s="2" t="s">
        <v>386</v>
      </c>
      <c r="B49" s="2" t="s">
        <v>143</v>
      </c>
      <c r="C49" s="2" t="s">
        <v>402</v>
      </c>
      <c r="D49" s="2" t="s">
        <v>64</v>
      </c>
      <c r="E49" s="2" t="s">
        <v>403</v>
      </c>
      <c r="F49" s="2" t="s">
        <v>275</v>
      </c>
      <c r="G49" s="2" t="s">
        <v>45</v>
      </c>
      <c r="H49" s="2" t="s">
        <v>128</v>
      </c>
      <c r="I49" s="2" t="s">
        <v>404</v>
      </c>
      <c r="J49" s="2" t="s">
        <v>82</v>
      </c>
      <c r="K49" s="5">
        <v>46161.0</v>
      </c>
      <c r="L49" s="2" t="s">
        <v>107</v>
      </c>
      <c r="M49" s="2" t="s">
        <v>68</v>
      </c>
      <c r="N49" s="5">
        <v>46053.0</v>
      </c>
      <c r="O49" s="2">
        <v>0.0</v>
      </c>
      <c r="P49" s="2" t="s">
        <v>240</v>
      </c>
      <c r="Q49" s="2" t="s">
        <v>406</v>
      </c>
      <c r="R49" s="2" t="s">
        <v>407</v>
      </c>
      <c r="S49" s="2">
        <v>3.0</v>
      </c>
      <c r="T49" s="5">
        <v>46064.0</v>
      </c>
      <c r="U49" s="2">
        <v>5.0</v>
      </c>
    </row>
    <row r="50">
      <c r="A50" s="2" t="s">
        <v>393</v>
      </c>
      <c r="B50" s="2" t="s">
        <v>143</v>
      </c>
      <c r="C50" s="5">
        <v>46148.0</v>
      </c>
      <c r="D50" s="2" t="s">
        <v>249</v>
      </c>
      <c r="E50" s="2" t="s">
        <v>408</v>
      </c>
      <c r="F50" s="5">
        <v>46040.0</v>
      </c>
      <c r="G50" s="2" t="s">
        <v>300</v>
      </c>
      <c r="H50" s="2" t="s">
        <v>394</v>
      </c>
      <c r="I50" s="5">
        <v>46059.0</v>
      </c>
      <c r="J50" s="2" t="s">
        <v>45</v>
      </c>
      <c r="K50" s="2" t="s">
        <v>409</v>
      </c>
      <c r="L50" s="2" t="s">
        <v>410</v>
      </c>
      <c r="M50" s="2" t="s">
        <v>80</v>
      </c>
      <c r="N50" s="2" t="s">
        <v>130</v>
      </c>
      <c r="O50" s="5">
        <v>46030.0</v>
      </c>
      <c r="P50" s="2" t="s">
        <v>63</v>
      </c>
      <c r="Q50" s="2" t="s">
        <v>411</v>
      </c>
      <c r="R50" s="2" t="s">
        <v>351</v>
      </c>
      <c r="S50" s="5">
        <v>46099.0</v>
      </c>
      <c r="T50" s="5">
        <v>46037.0</v>
      </c>
      <c r="U50" s="2">
        <v>5.0</v>
      </c>
    </row>
    <row r="51">
      <c r="A51" s="2" t="s">
        <v>398</v>
      </c>
      <c r="B51" s="2" t="s">
        <v>73</v>
      </c>
      <c r="C51" s="2" t="s">
        <v>412</v>
      </c>
      <c r="D51" s="2" t="s">
        <v>36</v>
      </c>
      <c r="E51" s="2" t="s">
        <v>413</v>
      </c>
      <c r="K51" s="5">
        <v>46072.0</v>
      </c>
      <c r="Q51" s="2" t="s">
        <v>394</v>
      </c>
      <c r="R51" s="2" t="s">
        <v>414</v>
      </c>
      <c r="S51" s="5">
        <v>46049.0</v>
      </c>
      <c r="T51" s="2" t="s">
        <v>380</v>
      </c>
      <c r="U51" s="2">
        <v>2.0</v>
      </c>
    </row>
    <row r="52">
      <c r="A52" s="2" t="s">
        <v>405</v>
      </c>
      <c r="B52" s="2" t="s">
        <v>103</v>
      </c>
      <c r="C52" s="2" t="s">
        <v>68</v>
      </c>
      <c r="D52" s="2" t="s">
        <v>186</v>
      </c>
      <c r="E52" s="2" t="s">
        <v>416</v>
      </c>
      <c r="F52" s="2" t="s">
        <v>96</v>
      </c>
      <c r="G52" s="2" t="s">
        <v>91</v>
      </c>
      <c r="H52" s="2" t="s">
        <v>154</v>
      </c>
      <c r="I52" s="2" t="s">
        <v>417</v>
      </c>
      <c r="J52" s="2" t="s">
        <v>79</v>
      </c>
      <c r="K52" s="2" t="s">
        <v>216</v>
      </c>
      <c r="L52" s="2" t="s">
        <v>378</v>
      </c>
      <c r="M52" s="2" t="s">
        <v>80</v>
      </c>
      <c r="N52" s="2" t="s">
        <v>88</v>
      </c>
      <c r="O52" s="2" t="s">
        <v>114</v>
      </c>
      <c r="P52" s="2">
        <v>0.0</v>
      </c>
      <c r="Q52" s="6">
        <v>46025.0</v>
      </c>
      <c r="R52" s="2" t="s">
        <v>418</v>
      </c>
      <c r="S52" s="2" t="s">
        <v>419</v>
      </c>
      <c r="T52" s="2" t="s">
        <v>271</v>
      </c>
      <c r="U52" s="2">
        <v>5.0</v>
      </c>
    </row>
    <row r="53">
      <c r="A53" s="2" t="s">
        <v>415</v>
      </c>
      <c r="B53" s="2" t="s">
        <v>103</v>
      </c>
      <c r="C53" s="5">
        <v>46323.0</v>
      </c>
      <c r="D53" s="2" t="s">
        <v>163</v>
      </c>
      <c r="E53" s="2" t="s">
        <v>420</v>
      </c>
      <c r="F53" s="2" t="s">
        <v>293</v>
      </c>
      <c r="G53" s="2" t="s">
        <v>92</v>
      </c>
      <c r="H53" s="2" t="s">
        <v>92</v>
      </c>
      <c r="I53" s="2" t="s">
        <v>412</v>
      </c>
      <c r="J53" s="2" t="s">
        <v>49</v>
      </c>
      <c r="K53" s="2" t="s">
        <v>381</v>
      </c>
      <c r="L53" s="2" t="s">
        <v>62</v>
      </c>
      <c r="M53" s="2" t="s">
        <v>149</v>
      </c>
      <c r="N53" s="2" t="s">
        <v>78</v>
      </c>
      <c r="O53" s="2" t="s">
        <v>48</v>
      </c>
      <c r="P53" s="2" t="s">
        <v>181</v>
      </c>
      <c r="Q53" s="2" t="s">
        <v>157</v>
      </c>
      <c r="R53" s="2" t="s">
        <v>421</v>
      </c>
      <c r="S53" s="2" t="s">
        <v>159</v>
      </c>
      <c r="T53" s="2" t="s">
        <v>422</v>
      </c>
      <c r="U53" s="2">
        <v>6.0</v>
      </c>
    </row>
    <row r="54">
      <c r="A54" s="2" t="s">
        <v>423</v>
      </c>
      <c r="B54" s="2" t="s">
        <v>103</v>
      </c>
      <c r="C54" s="2" t="s">
        <v>424</v>
      </c>
      <c r="D54" s="2" t="s">
        <v>59</v>
      </c>
      <c r="E54" s="2" t="s">
        <v>425</v>
      </c>
      <c r="F54" s="2" t="s">
        <v>38</v>
      </c>
      <c r="G54" s="2" t="s">
        <v>38</v>
      </c>
      <c r="H54" s="2" t="s">
        <v>45</v>
      </c>
      <c r="I54" s="6">
        <v>46030.0</v>
      </c>
      <c r="J54" s="2" t="s">
        <v>42</v>
      </c>
      <c r="K54" s="5">
        <v>46070.0</v>
      </c>
      <c r="L54" s="2" t="s">
        <v>310</v>
      </c>
      <c r="M54" s="2" t="s">
        <v>38</v>
      </c>
      <c r="N54" s="2" t="s">
        <v>234</v>
      </c>
      <c r="O54" s="2" t="s">
        <v>149</v>
      </c>
      <c r="P54" s="2" t="s">
        <v>69</v>
      </c>
      <c r="Q54" s="5">
        <v>46055.0</v>
      </c>
      <c r="R54" s="2" t="s">
        <v>82</v>
      </c>
      <c r="S54" s="5">
        <v>46047.0</v>
      </c>
      <c r="T54" s="2" t="s">
        <v>225</v>
      </c>
      <c r="U54" s="2">
        <v>5.0</v>
      </c>
    </row>
    <row r="55">
      <c r="A55" s="2" t="s">
        <v>426</v>
      </c>
      <c r="B55" s="2" t="s">
        <v>73</v>
      </c>
      <c r="C55" s="2" t="s">
        <v>427</v>
      </c>
      <c r="D55" s="2" t="s">
        <v>267</v>
      </c>
      <c r="E55" s="2" t="s">
        <v>428</v>
      </c>
      <c r="F55" s="2" t="s">
        <v>324</v>
      </c>
      <c r="G55" s="2" t="s">
        <v>41</v>
      </c>
      <c r="H55" s="2" t="s">
        <v>79</v>
      </c>
      <c r="I55" s="6">
        <v>46024.0</v>
      </c>
      <c r="J55" s="2" t="s">
        <v>49</v>
      </c>
      <c r="K55" s="5">
        <v>46068.0</v>
      </c>
      <c r="L55" s="2" t="s">
        <v>199</v>
      </c>
      <c r="M55" s="2">
        <v>0.0</v>
      </c>
      <c r="N55" s="2">
        <v>0.0</v>
      </c>
      <c r="O55" s="2" t="s">
        <v>48</v>
      </c>
      <c r="P55" s="2" t="s">
        <v>91</v>
      </c>
      <c r="Q55" s="2" t="s">
        <v>157</v>
      </c>
      <c r="R55" s="2" t="s">
        <v>429</v>
      </c>
      <c r="S55" s="5">
        <v>46046.0</v>
      </c>
      <c r="T55" s="2" t="s">
        <v>430</v>
      </c>
      <c r="U55" s="2">
        <v>5.0</v>
      </c>
    </row>
    <row r="56">
      <c r="A56" s="2" t="s">
        <v>431</v>
      </c>
      <c r="B56" s="2" t="s">
        <v>103</v>
      </c>
      <c r="C56" s="5">
        <v>46176.0</v>
      </c>
      <c r="D56" s="2" t="s">
        <v>118</v>
      </c>
      <c r="E56" s="2" t="s">
        <v>432</v>
      </c>
      <c r="F56" s="2" t="s">
        <v>132</v>
      </c>
      <c r="G56" s="2" t="s">
        <v>66</v>
      </c>
      <c r="H56" s="2" t="s">
        <v>378</v>
      </c>
      <c r="I56" s="2" t="s">
        <v>344</v>
      </c>
      <c r="J56" s="2" t="s">
        <v>154</v>
      </c>
      <c r="K56" s="6">
        <v>46060.0</v>
      </c>
      <c r="L56" s="2" t="s">
        <v>81</v>
      </c>
      <c r="M56" s="2" t="s">
        <v>91</v>
      </c>
      <c r="N56" s="2" t="s">
        <v>49</v>
      </c>
      <c r="O56" s="2" t="s">
        <v>149</v>
      </c>
      <c r="P56" s="2" t="s">
        <v>181</v>
      </c>
      <c r="Q56" s="2" t="s">
        <v>348</v>
      </c>
      <c r="R56" s="2" t="s">
        <v>171</v>
      </c>
      <c r="S56" s="5">
        <v>46024.0</v>
      </c>
      <c r="T56" s="2" t="s">
        <v>433</v>
      </c>
      <c r="U56" s="2">
        <v>5.0</v>
      </c>
    </row>
    <row r="57">
      <c r="A57" s="2" t="s">
        <v>434</v>
      </c>
      <c r="B57" s="2" t="s">
        <v>73</v>
      </c>
      <c r="C57" s="2" t="s">
        <v>128</v>
      </c>
      <c r="D57" s="2" t="s">
        <v>191</v>
      </c>
      <c r="E57" s="2" t="s">
        <v>435</v>
      </c>
      <c r="F57" s="2" t="s">
        <v>81</v>
      </c>
      <c r="G57" s="2" t="s">
        <v>48</v>
      </c>
      <c r="H57" s="2" t="s">
        <v>97</v>
      </c>
      <c r="I57" s="5">
        <v>46098.0</v>
      </c>
      <c r="J57" s="2" t="s">
        <v>62</v>
      </c>
      <c r="K57" s="2" t="s">
        <v>436</v>
      </c>
      <c r="L57" s="2" t="s">
        <v>240</v>
      </c>
      <c r="M57" s="2" t="s">
        <v>91</v>
      </c>
      <c r="N57" s="5">
        <v>46082.0</v>
      </c>
      <c r="O57" s="6">
        <v>46023.0</v>
      </c>
      <c r="P57" s="2" t="s">
        <v>48</v>
      </c>
      <c r="Q57" s="5">
        <v>46116.0</v>
      </c>
      <c r="R57" s="2" t="s">
        <v>132</v>
      </c>
      <c r="S57" s="2" t="s">
        <v>437</v>
      </c>
      <c r="T57" s="2" t="s">
        <v>438</v>
      </c>
      <c r="U57" s="2" t="s">
        <v>164</v>
      </c>
    </row>
    <row r="58">
      <c r="A58" s="2" t="s">
        <v>439</v>
      </c>
      <c r="B58" s="2" t="s">
        <v>73</v>
      </c>
      <c r="C58" s="5">
        <v>46186.0</v>
      </c>
      <c r="D58" s="2" t="s">
        <v>298</v>
      </c>
      <c r="E58" s="2" t="s">
        <v>440</v>
      </c>
      <c r="F58" s="2" t="s">
        <v>114</v>
      </c>
      <c r="G58" s="2" t="s">
        <v>42</v>
      </c>
      <c r="H58" s="2" t="s">
        <v>69</v>
      </c>
      <c r="I58" s="2" t="s">
        <v>82</v>
      </c>
      <c r="J58" s="2" t="s">
        <v>80</v>
      </c>
      <c r="K58" s="2" t="s">
        <v>201</v>
      </c>
      <c r="L58" s="2" t="s">
        <v>68</v>
      </c>
      <c r="M58" s="2" t="s">
        <v>42</v>
      </c>
      <c r="N58" s="2" t="s">
        <v>93</v>
      </c>
      <c r="O58" s="2" t="s">
        <v>94</v>
      </c>
      <c r="P58" s="2" t="s">
        <v>48</v>
      </c>
      <c r="Q58" s="5">
        <v>46025.0</v>
      </c>
      <c r="R58" s="2" t="s">
        <v>159</v>
      </c>
      <c r="S58" s="2" t="s">
        <v>45</v>
      </c>
      <c r="T58" s="2" t="s">
        <v>310</v>
      </c>
      <c r="U58" s="2">
        <v>5.0</v>
      </c>
    </row>
    <row r="59">
      <c r="A59" s="2" t="s">
        <v>441</v>
      </c>
      <c r="B59" s="2" t="s">
        <v>143</v>
      </c>
      <c r="C59" s="5">
        <v>46051.0</v>
      </c>
      <c r="D59" s="2" t="s">
        <v>170</v>
      </c>
      <c r="E59" s="2" t="s">
        <v>442</v>
      </c>
      <c r="K59" s="2" t="s">
        <v>140</v>
      </c>
      <c r="Q59" s="2" t="s">
        <v>443</v>
      </c>
      <c r="R59" s="2" t="s">
        <v>444</v>
      </c>
      <c r="S59" s="2" t="s">
        <v>445</v>
      </c>
      <c r="T59" s="2" t="s">
        <v>250</v>
      </c>
      <c r="U59" s="2" t="s">
        <v>210</v>
      </c>
    </row>
    <row r="60">
      <c r="A60" s="2" t="s">
        <v>446</v>
      </c>
      <c r="B60" s="2" t="s">
        <v>73</v>
      </c>
      <c r="C60" s="2" t="s">
        <v>447</v>
      </c>
      <c r="D60" s="2" t="s">
        <v>248</v>
      </c>
      <c r="E60" s="2" t="s">
        <v>448</v>
      </c>
      <c r="F60" s="2" t="s">
        <v>285</v>
      </c>
      <c r="G60" s="2" t="s">
        <v>92</v>
      </c>
      <c r="H60" s="2" t="s">
        <v>36</v>
      </c>
      <c r="I60" s="2" t="s">
        <v>68</v>
      </c>
      <c r="J60" s="2">
        <v>0.0</v>
      </c>
      <c r="K60" s="6">
        <v>46024.0</v>
      </c>
      <c r="L60" s="2" t="s">
        <v>285</v>
      </c>
      <c r="M60" s="2" t="s">
        <v>92</v>
      </c>
      <c r="N60" s="2" t="s">
        <v>181</v>
      </c>
      <c r="O60" s="2" t="s">
        <v>49</v>
      </c>
      <c r="P60" s="2" t="s">
        <v>69</v>
      </c>
      <c r="Q60" s="2" t="s">
        <v>191</v>
      </c>
      <c r="R60" s="2" t="s">
        <v>449</v>
      </c>
      <c r="S60" s="2" t="s">
        <v>83</v>
      </c>
      <c r="T60" s="2" t="s">
        <v>450</v>
      </c>
      <c r="U60" s="2">
        <v>6.0</v>
      </c>
    </row>
    <row r="61">
      <c r="A61" s="2" t="s">
        <v>451</v>
      </c>
      <c r="B61" s="2" t="s">
        <v>134</v>
      </c>
      <c r="C61" s="2" t="s">
        <v>159</v>
      </c>
      <c r="D61" s="2" t="s">
        <v>186</v>
      </c>
      <c r="E61" s="2" t="s">
        <v>452</v>
      </c>
      <c r="F61" s="2" t="s">
        <v>65</v>
      </c>
      <c r="G61" s="2" t="s">
        <v>40</v>
      </c>
      <c r="H61" s="2" t="s">
        <v>201</v>
      </c>
      <c r="I61" s="6">
        <v>46028.0</v>
      </c>
      <c r="J61" s="2" t="s">
        <v>275</v>
      </c>
      <c r="K61" s="5">
        <v>46062.0</v>
      </c>
      <c r="L61" s="2" t="s">
        <v>203</v>
      </c>
      <c r="M61" s="2" t="s">
        <v>93</v>
      </c>
      <c r="N61" s="5">
        <v>46025.0</v>
      </c>
      <c r="O61" s="2" t="s">
        <v>250</v>
      </c>
      <c r="P61" s="2" t="s">
        <v>49</v>
      </c>
      <c r="Q61" s="2" t="s">
        <v>453</v>
      </c>
      <c r="R61" s="2" t="s">
        <v>454</v>
      </c>
      <c r="S61" s="2" t="s">
        <v>119</v>
      </c>
      <c r="T61" s="5">
        <v>46044.0</v>
      </c>
      <c r="U61" s="2">
        <v>5.0</v>
      </c>
    </row>
    <row r="62">
      <c r="A62" s="2" t="s">
        <v>455</v>
      </c>
      <c r="B62" s="2" t="s">
        <v>143</v>
      </c>
      <c r="C62" s="2" t="s">
        <v>456</v>
      </c>
      <c r="D62" s="2" t="s">
        <v>159</v>
      </c>
      <c r="E62" s="2" t="s">
        <v>457</v>
      </c>
      <c r="K62" s="2" t="s">
        <v>458</v>
      </c>
      <c r="Q62" s="2" t="s">
        <v>459</v>
      </c>
      <c r="R62" s="2" t="s">
        <v>460</v>
      </c>
      <c r="S62" s="2" t="s">
        <v>461</v>
      </c>
      <c r="T62" s="2" t="s">
        <v>132</v>
      </c>
      <c r="U62" s="2" t="s">
        <v>210</v>
      </c>
    </row>
    <row r="63">
      <c r="A63" s="2" t="s">
        <v>462</v>
      </c>
      <c r="B63" s="2" t="s">
        <v>143</v>
      </c>
      <c r="C63" s="2" t="s">
        <v>463</v>
      </c>
      <c r="D63" s="2" t="s">
        <v>131</v>
      </c>
      <c r="E63" s="2" t="s">
        <v>464</v>
      </c>
      <c r="F63" s="5">
        <v>46045.0</v>
      </c>
      <c r="G63" s="2" t="s">
        <v>81</v>
      </c>
      <c r="H63" s="2" t="s">
        <v>465</v>
      </c>
      <c r="I63" s="2" t="s">
        <v>184</v>
      </c>
      <c r="J63" s="2" t="s">
        <v>178</v>
      </c>
      <c r="K63" s="5">
        <v>46156.0</v>
      </c>
      <c r="L63" s="2" t="s">
        <v>119</v>
      </c>
      <c r="M63" s="2" t="s">
        <v>78</v>
      </c>
      <c r="N63" s="2" t="s">
        <v>466</v>
      </c>
      <c r="O63" s="2" t="s">
        <v>149</v>
      </c>
      <c r="P63" s="2" t="s">
        <v>66</v>
      </c>
      <c r="Q63" s="5">
        <v>46092.0</v>
      </c>
      <c r="R63" s="2" t="s">
        <v>467</v>
      </c>
      <c r="S63" s="2" t="s">
        <v>125</v>
      </c>
      <c r="T63" s="2" t="s">
        <v>468</v>
      </c>
      <c r="U63" s="2">
        <v>6.0</v>
      </c>
    </row>
    <row r="64">
      <c r="A64" s="2" t="s">
        <v>469</v>
      </c>
      <c r="B64" s="2" t="s">
        <v>103</v>
      </c>
      <c r="C64" s="2" t="s">
        <v>45</v>
      </c>
      <c r="F64" s="2" t="s">
        <v>68</v>
      </c>
      <c r="G64" s="2" t="s">
        <v>69</v>
      </c>
      <c r="H64" s="2" t="s">
        <v>36</v>
      </c>
      <c r="I64" s="2" t="s">
        <v>470</v>
      </c>
      <c r="J64" s="2" t="s">
        <v>79</v>
      </c>
      <c r="K64" s="2" t="s">
        <v>290</v>
      </c>
      <c r="L64" s="2" t="s">
        <v>68</v>
      </c>
      <c r="M64" s="2" t="s">
        <v>69</v>
      </c>
      <c r="N64" s="2" t="s">
        <v>471</v>
      </c>
      <c r="O64" s="2" t="s">
        <v>472</v>
      </c>
      <c r="P64" s="2">
        <v>0.0</v>
      </c>
      <c r="Q64" s="2" t="s">
        <v>473</v>
      </c>
      <c r="R64" s="2" t="s">
        <v>474</v>
      </c>
      <c r="S64" s="2" t="s">
        <v>475</v>
      </c>
      <c r="T64" s="2" t="s">
        <v>48</v>
      </c>
      <c r="U64" s="2" t="s">
        <v>164</v>
      </c>
    </row>
    <row r="65">
      <c r="A65" s="2" t="s">
        <v>476</v>
      </c>
      <c r="B65" s="2" t="s">
        <v>134</v>
      </c>
      <c r="C65" s="2" t="s">
        <v>81</v>
      </c>
      <c r="F65" s="2" t="s">
        <v>167</v>
      </c>
      <c r="G65" s="2" t="s">
        <v>250</v>
      </c>
      <c r="H65" s="2" t="s">
        <v>92</v>
      </c>
      <c r="I65" s="2" t="s">
        <v>477</v>
      </c>
      <c r="J65" s="2" t="s">
        <v>162</v>
      </c>
      <c r="K65" s="2" t="s">
        <v>478</v>
      </c>
      <c r="L65" s="2" t="s">
        <v>178</v>
      </c>
      <c r="M65" s="2" t="s">
        <v>82</v>
      </c>
      <c r="N65" s="2" t="s">
        <v>59</v>
      </c>
      <c r="O65" s="2" t="s">
        <v>201</v>
      </c>
      <c r="P65" s="2">
        <v>0.0</v>
      </c>
      <c r="Q65" s="2" t="s">
        <v>379</v>
      </c>
      <c r="R65" s="2" t="s">
        <v>479</v>
      </c>
      <c r="S65" s="2" t="s">
        <v>480</v>
      </c>
      <c r="T65" s="2" t="s">
        <v>481</v>
      </c>
      <c r="U65" s="2">
        <v>5.0</v>
      </c>
    </row>
    <row r="66">
      <c r="A66" s="2" t="s">
        <v>482</v>
      </c>
      <c r="B66" s="2" t="s">
        <v>73</v>
      </c>
      <c r="C66" s="2" t="s">
        <v>263</v>
      </c>
      <c r="D66" s="2" t="s">
        <v>254</v>
      </c>
      <c r="E66" s="2" t="s">
        <v>483</v>
      </c>
      <c r="F66" s="2" t="s">
        <v>465</v>
      </c>
      <c r="G66" s="2" t="s">
        <v>240</v>
      </c>
      <c r="H66" s="2" t="s">
        <v>44</v>
      </c>
      <c r="I66" s="2" t="s">
        <v>248</v>
      </c>
      <c r="J66" s="2" t="s">
        <v>149</v>
      </c>
      <c r="K66" s="6">
        <v>46055.0</v>
      </c>
      <c r="L66" s="2" t="s">
        <v>63</v>
      </c>
      <c r="M66" s="5">
        <v>46087.0</v>
      </c>
      <c r="N66" s="2" t="s">
        <v>484</v>
      </c>
      <c r="O66" s="2" t="s">
        <v>485</v>
      </c>
      <c r="P66" s="2" t="s">
        <v>82</v>
      </c>
      <c r="Q66" s="2" t="s">
        <v>486</v>
      </c>
      <c r="R66" s="2" t="s">
        <v>487</v>
      </c>
      <c r="S66" s="5">
        <v>46038.0</v>
      </c>
      <c r="T66" s="2" t="s">
        <v>41</v>
      </c>
      <c r="U66" s="2" t="s">
        <v>164</v>
      </c>
    </row>
    <row r="67">
      <c r="A67" s="2" t="s">
        <v>488</v>
      </c>
      <c r="B67" s="2" t="s">
        <v>73</v>
      </c>
      <c r="C67" s="2" t="s">
        <v>489</v>
      </c>
      <c r="D67" s="2" t="s">
        <v>132</v>
      </c>
      <c r="E67" s="2" t="s">
        <v>490</v>
      </c>
      <c r="F67" s="2" t="s">
        <v>36</v>
      </c>
      <c r="G67" s="2" t="s">
        <v>181</v>
      </c>
      <c r="H67" s="2" t="s">
        <v>40</v>
      </c>
      <c r="I67" s="2" t="s">
        <v>66</v>
      </c>
      <c r="J67" s="2" t="s">
        <v>41</v>
      </c>
      <c r="K67" s="6">
        <v>46025.0</v>
      </c>
      <c r="L67" s="2" t="s">
        <v>365</v>
      </c>
      <c r="M67" s="2" t="s">
        <v>49</v>
      </c>
      <c r="N67" s="2" t="s">
        <v>40</v>
      </c>
      <c r="O67" s="2" t="s">
        <v>310</v>
      </c>
      <c r="P67" s="2" t="s">
        <v>82</v>
      </c>
      <c r="Q67" s="2" t="s">
        <v>162</v>
      </c>
      <c r="R67" s="2" t="s">
        <v>491</v>
      </c>
      <c r="S67" s="2" t="s">
        <v>77</v>
      </c>
      <c r="T67" s="5">
        <v>46047.0</v>
      </c>
      <c r="U67" s="2">
        <v>5.0</v>
      </c>
    </row>
    <row r="68">
      <c r="A68" s="2" t="s">
        <v>492</v>
      </c>
      <c r="B68" s="2" t="s">
        <v>33</v>
      </c>
      <c r="C68" s="2" t="s">
        <v>349</v>
      </c>
      <c r="D68" s="2" t="s">
        <v>167</v>
      </c>
      <c r="E68" s="2" t="s">
        <v>493</v>
      </c>
      <c r="F68" s="2" t="s">
        <v>298</v>
      </c>
      <c r="G68" s="2" t="s">
        <v>40</v>
      </c>
      <c r="H68" s="2" t="s">
        <v>114</v>
      </c>
      <c r="I68" s="2" t="s">
        <v>111</v>
      </c>
      <c r="J68" s="2" t="s">
        <v>48</v>
      </c>
      <c r="K68" s="2" t="s">
        <v>470</v>
      </c>
      <c r="L68" s="2" t="s">
        <v>92</v>
      </c>
      <c r="M68" s="2" t="s">
        <v>302</v>
      </c>
      <c r="N68" s="2" t="s">
        <v>348</v>
      </c>
      <c r="O68" s="2" t="s">
        <v>181</v>
      </c>
      <c r="P68" s="2" t="s">
        <v>49</v>
      </c>
      <c r="Q68" s="5">
        <v>46039.0</v>
      </c>
      <c r="R68" s="2" t="s">
        <v>494</v>
      </c>
      <c r="S68" s="2" t="s">
        <v>215</v>
      </c>
      <c r="T68" s="2" t="s">
        <v>475</v>
      </c>
      <c r="U68" s="2" t="s">
        <v>124</v>
      </c>
    </row>
    <row r="69">
      <c r="A69" s="2" t="s">
        <v>495</v>
      </c>
      <c r="B69" s="2" t="s">
        <v>143</v>
      </c>
      <c r="C69" s="2" t="s">
        <v>496</v>
      </c>
      <c r="D69" s="2" t="s">
        <v>215</v>
      </c>
      <c r="E69" s="2" t="s">
        <v>497</v>
      </c>
      <c r="F69" s="5">
        <v>46023.0</v>
      </c>
      <c r="G69" s="2" t="s">
        <v>154</v>
      </c>
      <c r="H69" s="2" t="s">
        <v>224</v>
      </c>
      <c r="I69" s="5">
        <v>46109.0</v>
      </c>
      <c r="J69" s="2" t="s">
        <v>181</v>
      </c>
      <c r="K69" s="5">
        <v>46145.0</v>
      </c>
      <c r="L69" s="5">
        <v>46045.0</v>
      </c>
      <c r="M69" s="2" t="s">
        <v>69</v>
      </c>
      <c r="N69" s="2" t="s">
        <v>324</v>
      </c>
      <c r="O69" s="2" t="s">
        <v>68</v>
      </c>
      <c r="P69" s="2" t="s">
        <v>45</v>
      </c>
      <c r="Q69" s="5">
        <v>46080.0</v>
      </c>
      <c r="R69" s="2" t="s">
        <v>498</v>
      </c>
      <c r="S69" s="6">
        <v>46087.0</v>
      </c>
      <c r="T69" s="2" t="s">
        <v>499</v>
      </c>
      <c r="U69" s="2">
        <v>5.0</v>
      </c>
    </row>
    <row r="70">
      <c r="A70" s="2" t="s">
        <v>500</v>
      </c>
      <c r="B70" s="2" t="s">
        <v>73</v>
      </c>
      <c r="C70" s="2" t="s">
        <v>501</v>
      </c>
      <c r="D70" s="2" t="s">
        <v>138</v>
      </c>
      <c r="E70" s="2" t="s">
        <v>502</v>
      </c>
      <c r="F70" s="2" t="s">
        <v>157</v>
      </c>
      <c r="G70" s="2" t="s">
        <v>68</v>
      </c>
      <c r="H70" s="2" t="s">
        <v>250</v>
      </c>
      <c r="I70" s="2" t="s">
        <v>248</v>
      </c>
      <c r="J70" s="2" t="s">
        <v>178</v>
      </c>
      <c r="K70" s="2" t="s">
        <v>503</v>
      </c>
      <c r="L70" s="2" t="s">
        <v>254</v>
      </c>
      <c r="M70" s="2" t="s">
        <v>97</v>
      </c>
      <c r="N70" s="2" t="s">
        <v>67</v>
      </c>
      <c r="O70" s="2" t="s">
        <v>69</v>
      </c>
      <c r="P70" s="2" t="s">
        <v>68</v>
      </c>
      <c r="Q70" s="2" t="s">
        <v>475</v>
      </c>
      <c r="R70" s="2" t="s">
        <v>504</v>
      </c>
      <c r="S70" s="5">
        <v>46036.0</v>
      </c>
      <c r="T70" s="2" t="s">
        <v>317</v>
      </c>
      <c r="U70" s="2">
        <v>6.0</v>
      </c>
    </row>
    <row r="71">
      <c r="A71" s="2" t="s">
        <v>505</v>
      </c>
      <c r="B71" s="2" t="s">
        <v>143</v>
      </c>
      <c r="C71" s="5">
        <v>46338.0</v>
      </c>
      <c r="D71" s="2" t="s">
        <v>412</v>
      </c>
      <c r="E71" s="2" t="s">
        <v>506</v>
      </c>
      <c r="F71" s="6">
        <v>46029.0</v>
      </c>
      <c r="G71" s="2" t="s">
        <v>293</v>
      </c>
      <c r="H71" s="2" t="s">
        <v>45</v>
      </c>
      <c r="I71" s="2" t="s">
        <v>209</v>
      </c>
      <c r="J71" s="2" t="s">
        <v>41</v>
      </c>
      <c r="K71" s="2" t="s">
        <v>247</v>
      </c>
      <c r="L71" s="6">
        <v>46023.0</v>
      </c>
      <c r="M71" s="2" t="s">
        <v>154</v>
      </c>
      <c r="N71" s="2" t="s">
        <v>365</v>
      </c>
      <c r="O71" s="2" t="s">
        <v>79</v>
      </c>
      <c r="P71" s="2" t="s">
        <v>69</v>
      </c>
      <c r="Q71" s="2" t="s">
        <v>99</v>
      </c>
      <c r="R71" s="2" t="s">
        <v>507</v>
      </c>
      <c r="S71" s="2" t="s">
        <v>508</v>
      </c>
      <c r="T71" s="2" t="s">
        <v>480</v>
      </c>
      <c r="U71" s="2">
        <v>5.0</v>
      </c>
    </row>
    <row r="72">
      <c r="A72" s="2" t="s">
        <v>509</v>
      </c>
      <c r="B72" s="2" t="s">
        <v>103</v>
      </c>
      <c r="C72" s="2" t="s">
        <v>114</v>
      </c>
      <c r="D72" s="2" t="s">
        <v>128</v>
      </c>
      <c r="E72" s="2" t="s">
        <v>510</v>
      </c>
      <c r="K72" s="2" t="s">
        <v>511</v>
      </c>
      <c r="Q72" s="2" t="s">
        <v>512</v>
      </c>
      <c r="R72" s="2" t="s">
        <v>513</v>
      </c>
      <c r="S72" s="2" t="s">
        <v>363</v>
      </c>
      <c r="T72" s="2" t="s">
        <v>217</v>
      </c>
      <c r="U72" s="2" t="s">
        <v>164</v>
      </c>
    </row>
    <row r="73">
      <c r="A73" s="2" t="s">
        <v>514</v>
      </c>
      <c r="B73" s="2" t="s">
        <v>103</v>
      </c>
      <c r="C73" s="2" t="s">
        <v>36</v>
      </c>
      <c r="F73" s="2" t="s">
        <v>149</v>
      </c>
      <c r="G73" s="2" t="s">
        <v>82</v>
      </c>
      <c r="H73" s="2" t="s">
        <v>78</v>
      </c>
      <c r="I73" s="2" t="s">
        <v>515</v>
      </c>
      <c r="J73" s="2" t="s">
        <v>285</v>
      </c>
      <c r="K73" s="5">
        <v>46104.0</v>
      </c>
      <c r="L73" s="2" t="s">
        <v>149</v>
      </c>
      <c r="M73" s="2" t="s">
        <v>82</v>
      </c>
      <c r="N73" s="2" t="s">
        <v>240</v>
      </c>
      <c r="O73" s="2" t="s">
        <v>42</v>
      </c>
      <c r="P73" s="2">
        <v>0.0</v>
      </c>
      <c r="Q73" s="2" t="s">
        <v>123</v>
      </c>
      <c r="R73" s="2" t="s">
        <v>507</v>
      </c>
      <c r="S73" s="2" t="s">
        <v>117</v>
      </c>
      <c r="T73" s="5">
        <v>46217.0</v>
      </c>
      <c r="U73" s="2">
        <v>5.0</v>
      </c>
    </row>
    <row r="74">
      <c r="A74" s="2" t="s">
        <v>516</v>
      </c>
      <c r="B74" s="2" t="s">
        <v>103</v>
      </c>
      <c r="C74" s="2" t="s">
        <v>517</v>
      </c>
      <c r="D74" s="2" t="s">
        <v>275</v>
      </c>
      <c r="E74" s="2" t="s">
        <v>518</v>
      </c>
      <c r="F74" s="2" t="s">
        <v>101</v>
      </c>
      <c r="G74" s="2" t="s">
        <v>78</v>
      </c>
      <c r="H74" s="2" t="s">
        <v>191</v>
      </c>
      <c r="I74" s="2" t="s">
        <v>305</v>
      </c>
      <c r="J74" s="2" t="s">
        <v>80</v>
      </c>
      <c r="K74" s="2" t="s">
        <v>519</v>
      </c>
      <c r="L74" s="2" t="s">
        <v>199</v>
      </c>
      <c r="M74" s="2" t="s">
        <v>91</v>
      </c>
      <c r="N74" s="2" t="s">
        <v>130</v>
      </c>
      <c r="O74" s="2" t="s">
        <v>181</v>
      </c>
      <c r="P74" s="2" t="s">
        <v>68</v>
      </c>
      <c r="Q74" s="2" t="s">
        <v>225</v>
      </c>
      <c r="R74" s="2" t="s">
        <v>520</v>
      </c>
      <c r="S74" s="6">
        <v>46031.0</v>
      </c>
      <c r="T74" s="2" t="s">
        <v>266</v>
      </c>
      <c r="U74" s="2">
        <v>5.0</v>
      </c>
    </row>
    <row r="75">
      <c r="A75" s="2" t="s">
        <v>521</v>
      </c>
      <c r="B75" s="2" t="s">
        <v>73</v>
      </c>
      <c r="C75" s="2" t="s">
        <v>522</v>
      </c>
      <c r="D75" s="2" t="s">
        <v>283</v>
      </c>
      <c r="E75" s="2" t="s">
        <v>523</v>
      </c>
      <c r="F75" s="2" t="s">
        <v>298</v>
      </c>
      <c r="G75" s="2" t="s">
        <v>310</v>
      </c>
      <c r="H75" s="2" t="s">
        <v>123</v>
      </c>
      <c r="I75" s="2" t="s">
        <v>78</v>
      </c>
      <c r="J75" s="2" t="s">
        <v>181</v>
      </c>
      <c r="K75" s="2" t="s">
        <v>234</v>
      </c>
      <c r="L75" s="2" t="s">
        <v>293</v>
      </c>
      <c r="M75" s="2" t="s">
        <v>167</v>
      </c>
      <c r="N75" s="2" t="s">
        <v>96</v>
      </c>
      <c r="O75" s="2" t="s">
        <v>38</v>
      </c>
      <c r="P75" s="2" t="s">
        <v>49</v>
      </c>
      <c r="Q75" s="6">
        <v>46062.0</v>
      </c>
      <c r="R75" s="2" t="s">
        <v>324</v>
      </c>
      <c r="S75" s="2" t="s">
        <v>236</v>
      </c>
      <c r="T75" s="2" t="s">
        <v>254</v>
      </c>
      <c r="U75" s="2">
        <v>5.0</v>
      </c>
    </row>
    <row r="76">
      <c r="A76" s="2" t="s">
        <v>524</v>
      </c>
      <c r="B76" s="2" t="s">
        <v>73</v>
      </c>
      <c r="C76" s="2" t="s">
        <v>468</v>
      </c>
      <c r="D76" s="2" t="s">
        <v>201</v>
      </c>
      <c r="E76" s="2" t="s">
        <v>525</v>
      </c>
      <c r="F76" s="2" t="s">
        <v>293</v>
      </c>
      <c r="G76" s="2" t="s">
        <v>302</v>
      </c>
      <c r="H76" s="2" t="s">
        <v>254</v>
      </c>
      <c r="I76" s="2" t="s">
        <v>93</v>
      </c>
      <c r="J76" s="2" t="s">
        <v>80</v>
      </c>
      <c r="K76" s="2" t="s">
        <v>381</v>
      </c>
      <c r="L76" s="2" t="s">
        <v>224</v>
      </c>
      <c r="M76" s="2" t="s">
        <v>302</v>
      </c>
      <c r="N76" s="2" t="s">
        <v>130</v>
      </c>
      <c r="O76" s="2" t="s">
        <v>489</v>
      </c>
      <c r="P76" s="2" t="s">
        <v>69</v>
      </c>
      <c r="Q76" s="6">
        <v>46084.0</v>
      </c>
      <c r="R76" s="2" t="s">
        <v>419</v>
      </c>
      <c r="S76" s="2" t="s">
        <v>131</v>
      </c>
      <c r="T76" s="2" t="s">
        <v>233</v>
      </c>
      <c r="U76" s="2">
        <v>6.0</v>
      </c>
    </row>
    <row r="77">
      <c r="A77" s="2" t="s">
        <v>526</v>
      </c>
      <c r="B77" s="2" t="s">
        <v>103</v>
      </c>
      <c r="C77" s="2" t="s">
        <v>213</v>
      </c>
      <c r="D77" s="2" t="s">
        <v>147</v>
      </c>
      <c r="E77" s="2" t="s">
        <v>527</v>
      </c>
      <c r="F77" s="2" t="s">
        <v>305</v>
      </c>
      <c r="G77" s="2" t="s">
        <v>62</v>
      </c>
      <c r="H77" s="2" t="s">
        <v>394</v>
      </c>
      <c r="I77" s="5">
        <v>46047.0</v>
      </c>
      <c r="J77" s="2" t="s">
        <v>69</v>
      </c>
      <c r="K77" s="6">
        <v>46088.0</v>
      </c>
      <c r="L77" s="2" t="s">
        <v>267</v>
      </c>
      <c r="M77" s="2" t="s">
        <v>528</v>
      </c>
      <c r="N77" s="2" t="s">
        <v>529</v>
      </c>
      <c r="O77" s="5">
        <v>46154.0</v>
      </c>
      <c r="P77" s="2" t="s">
        <v>69</v>
      </c>
      <c r="Q77" s="2" t="s">
        <v>530</v>
      </c>
      <c r="R77" s="2" t="s">
        <v>531</v>
      </c>
      <c r="S77" s="2" t="s">
        <v>532</v>
      </c>
      <c r="T77" s="2" t="s">
        <v>181</v>
      </c>
      <c r="U77" s="2">
        <v>5.0</v>
      </c>
    </row>
    <row r="78">
      <c r="A78" s="2" t="s">
        <v>533</v>
      </c>
      <c r="B78" s="2" t="s">
        <v>103</v>
      </c>
      <c r="C78" s="5">
        <v>46312.0</v>
      </c>
      <c r="D78" s="2" t="s">
        <v>224</v>
      </c>
      <c r="E78" s="2" t="s">
        <v>534</v>
      </c>
      <c r="F78" s="2" t="s">
        <v>81</v>
      </c>
      <c r="G78" s="2" t="s">
        <v>49</v>
      </c>
      <c r="H78" s="2" t="s">
        <v>114</v>
      </c>
      <c r="I78" s="2" t="s">
        <v>91</v>
      </c>
      <c r="J78" s="2" t="s">
        <v>80</v>
      </c>
      <c r="K78" s="2" t="s">
        <v>348</v>
      </c>
      <c r="L78" s="2" t="s">
        <v>42</v>
      </c>
      <c r="M78" s="2" t="s">
        <v>82</v>
      </c>
      <c r="N78" s="2" t="s">
        <v>80</v>
      </c>
      <c r="O78" s="2" t="s">
        <v>80</v>
      </c>
      <c r="P78" s="2" t="s">
        <v>82</v>
      </c>
      <c r="Q78" s="2" t="s">
        <v>81</v>
      </c>
      <c r="R78" s="2" t="s">
        <v>535</v>
      </c>
      <c r="S78" s="2" t="s">
        <v>293</v>
      </c>
      <c r="T78" s="5">
        <v>46081.0</v>
      </c>
      <c r="U78" s="2">
        <v>6.0</v>
      </c>
    </row>
    <row r="79">
      <c r="A79" s="2" t="s">
        <v>536</v>
      </c>
      <c r="B79" s="2" t="s">
        <v>103</v>
      </c>
      <c r="C79" s="2" t="s">
        <v>537</v>
      </c>
      <c r="D79" s="2" t="s">
        <v>348</v>
      </c>
      <c r="E79" s="2" t="s">
        <v>538</v>
      </c>
      <c r="F79" s="2" t="s">
        <v>203</v>
      </c>
      <c r="G79" s="2" t="s">
        <v>63</v>
      </c>
      <c r="H79" s="2" t="s">
        <v>51</v>
      </c>
      <c r="I79" s="2" t="s">
        <v>77</v>
      </c>
      <c r="J79" s="2">
        <v>0.0</v>
      </c>
      <c r="K79" s="2" t="s">
        <v>539</v>
      </c>
      <c r="L79" s="2" t="s">
        <v>90</v>
      </c>
      <c r="M79" s="2" t="s">
        <v>97</v>
      </c>
      <c r="N79" s="2" t="s">
        <v>131</v>
      </c>
      <c r="O79" s="2" t="s">
        <v>365</v>
      </c>
      <c r="P79" s="2" t="s">
        <v>69</v>
      </c>
      <c r="Q79" s="2" t="s">
        <v>532</v>
      </c>
      <c r="R79" s="2" t="s">
        <v>93</v>
      </c>
      <c r="S79" s="2" t="s">
        <v>177</v>
      </c>
      <c r="T79" s="2" t="s">
        <v>540</v>
      </c>
      <c r="U79" s="2" t="s">
        <v>124</v>
      </c>
    </row>
    <row r="80">
      <c r="A80" s="2" t="s">
        <v>541</v>
      </c>
      <c r="B80" s="2" t="s">
        <v>143</v>
      </c>
      <c r="C80" s="2" t="s">
        <v>542</v>
      </c>
      <c r="D80" s="2" t="s">
        <v>162</v>
      </c>
      <c r="E80" s="2" t="s">
        <v>543</v>
      </c>
      <c r="F80" s="2" t="s">
        <v>201</v>
      </c>
      <c r="G80" s="2" t="s">
        <v>41</v>
      </c>
      <c r="H80" s="2" t="s">
        <v>302</v>
      </c>
      <c r="I80" s="5">
        <v>46031.0</v>
      </c>
      <c r="J80" s="2" t="s">
        <v>48</v>
      </c>
      <c r="K80" s="2" t="s">
        <v>544</v>
      </c>
      <c r="L80" s="5">
        <v>46050.0</v>
      </c>
      <c r="M80" s="2" t="s">
        <v>69</v>
      </c>
      <c r="N80" s="2" t="s">
        <v>267</v>
      </c>
      <c r="O80" s="2">
        <v>0.0</v>
      </c>
      <c r="P80" s="2" t="s">
        <v>240</v>
      </c>
      <c r="Q80" s="5">
        <v>46070.0</v>
      </c>
      <c r="R80" s="2" t="s">
        <v>545</v>
      </c>
      <c r="S80" s="2" t="s">
        <v>252</v>
      </c>
      <c r="T80" s="2" t="s">
        <v>546</v>
      </c>
      <c r="U80" s="2">
        <v>5.0</v>
      </c>
    </row>
    <row r="81">
      <c r="A81" s="2" t="s">
        <v>547</v>
      </c>
      <c r="B81" s="2" t="s">
        <v>134</v>
      </c>
      <c r="C81" s="2" t="s">
        <v>548</v>
      </c>
      <c r="D81" s="2" t="s">
        <v>77</v>
      </c>
      <c r="E81" s="2" t="s">
        <v>549</v>
      </c>
      <c r="F81" s="2" t="s">
        <v>130</v>
      </c>
      <c r="G81" s="2" t="s">
        <v>80</v>
      </c>
      <c r="H81" s="2" t="s">
        <v>154</v>
      </c>
      <c r="I81" s="2" t="s">
        <v>348</v>
      </c>
      <c r="J81" s="2" t="s">
        <v>48</v>
      </c>
      <c r="K81" s="5">
        <v>46038.0</v>
      </c>
      <c r="L81" s="2" t="s">
        <v>293</v>
      </c>
      <c r="M81" s="2">
        <v>0.0</v>
      </c>
      <c r="N81" s="2" t="s">
        <v>48</v>
      </c>
      <c r="O81" s="2" t="s">
        <v>82</v>
      </c>
      <c r="P81" s="2" t="s">
        <v>181</v>
      </c>
      <c r="Q81" s="2" t="s">
        <v>123</v>
      </c>
      <c r="R81" s="2" t="s">
        <v>550</v>
      </c>
      <c r="S81" s="2" t="s">
        <v>254</v>
      </c>
      <c r="T81" s="2" t="s">
        <v>98</v>
      </c>
      <c r="U81" s="2">
        <v>6.0</v>
      </c>
    </row>
    <row r="82">
      <c r="A82" s="2" t="s">
        <v>551</v>
      </c>
      <c r="B82" s="2" t="s">
        <v>134</v>
      </c>
      <c r="C82" s="2" t="s">
        <v>552</v>
      </c>
      <c r="D82" s="2" t="s">
        <v>324</v>
      </c>
      <c r="E82" s="2" t="s">
        <v>553</v>
      </c>
      <c r="F82" s="2" t="s">
        <v>132</v>
      </c>
      <c r="G82" s="2" t="s">
        <v>82</v>
      </c>
      <c r="H82" s="2" t="s">
        <v>40</v>
      </c>
      <c r="I82" s="2" t="s">
        <v>96</v>
      </c>
      <c r="J82" s="2" t="s">
        <v>66</v>
      </c>
      <c r="K82" s="2" t="s">
        <v>470</v>
      </c>
      <c r="L82" s="2" t="s">
        <v>36</v>
      </c>
      <c r="M82" s="2" t="s">
        <v>69</v>
      </c>
      <c r="N82" s="2" t="s">
        <v>38</v>
      </c>
      <c r="O82" s="2" t="s">
        <v>199</v>
      </c>
      <c r="P82" s="2" t="s">
        <v>69</v>
      </c>
      <c r="Q82" s="5">
        <v>46048.0</v>
      </c>
      <c r="R82" s="2" t="s">
        <v>554</v>
      </c>
      <c r="S82" s="2" t="s">
        <v>215</v>
      </c>
      <c r="T82" s="5">
        <v>46047.0</v>
      </c>
      <c r="U82" s="2">
        <v>6.0</v>
      </c>
    </row>
    <row r="83">
      <c r="A83" s="2" t="s">
        <v>555</v>
      </c>
      <c r="B83" s="2" t="s">
        <v>33</v>
      </c>
      <c r="C83" s="2" t="s">
        <v>556</v>
      </c>
      <c r="D83" s="2" t="s">
        <v>376</v>
      </c>
      <c r="E83" s="2" t="s">
        <v>557</v>
      </c>
      <c r="F83" s="2" t="s">
        <v>267</v>
      </c>
      <c r="G83" s="2" t="s">
        <v>93</v>
      </c>
      <c r="H83" s="2" t="s">
        <v>68</v>
      </c>
      <c r="I83" s="2" t="s">
        <v>363</v>
      </c>
      <c r="J83" s="2" t="s">
        <v>92</v>
      </c>
      <c r="K83" s="2" t="s">
        <v>558</v>
      </c>
      <c r="L83" s="2" t="s">
        <v>224</v>
      </c>
      <c r="M83" s="2" t="s">
        <v>68</v>
      </c>
      <c r="N83" s="2" t="s">
        <v>69</v>
      </c>
      <c r="O83" s="2" t="s">
        <v>178</v>
      </c>
      <c r="P83" s="2" t="s">
        <v>93</v>
      </c>
      <c r="Q83" s="2" t="s">
        <v>438</v>
      </c>
      <c r="R83" s="2" t="s">
        <v>559</v>
      </c>
      <c r="S83" s="2" t="s">
        <v>99</v>
      </c>
      <c r="T83" s="5">
        <v>46082.0</v>
      </c>
      <c r="U83" s="2" t="s">
        <v>124</v>
      </c>
    </row>
    <row r="84">
      <c r="A84" s="2" t="s">
        <v>560</v>
      </c>
      <c r="B84" s="2" t="s">
        <v>33</v>
      </c>
      <c r="C84" s="2" t="s">
        <v>561</v>
      </c>
      <c r="D84" s="2" t="s">
        <v>250</v>
      </c>
      <c r="E84" s="2" t="s">
        <v>562</v>
      </c>
      <c r="F84" s="2" t="s">
        <v>248</v>
      </c>
      <c r="G84" s="2" t="s">
        <v>82</v>
      </c>
      <c r="H84" s="2" t="s">
        <v>80</v>
      </c>
      <c r="I84" s="2" t="s">
        <v>563</v>
      </c>
      <c r="J84" s="2" t="s">
        <v>80</v>
      </c>
      <c r="K84" s="2" t="s">
        <v>564</v>
      </c>
      <c r="L84" s="2" t="s">
        <v>42</v>
      </c>
      <c r="M84" s="2" t="s">
        <v>48</v>
      </c>
      <c r="N84" s="2" t="s">
        <v>181</v>
      </c>
      <c r="O84" s="2">
        <v>0.0</v>
      </c>
      <c r="P84" s="2" t="s">
        <v>49</v>
      </c>
      <c r="Q84" s="2" t="s">
        <v>67</v>
      </c>
      <c r="R84" s="2" t="s">
        <v>429</v>
      </c>
      <c r="S84" s="6">
        <v>46031.0</v>
      </c>
      <c r="T84" s="2" t="s">
        <v>565</v>
      </c>
      <c r="U84" s="2" t="s">
        <v>124</v>
      </c>
    </row>
    <row r="85">
      <c r="A85" s="2" t="s">
        <v>566</v>
      </c>
      <c r="B85" s="2" t="s">
        <v>143</v>
      </c>
      <c r="C85" s="2" t="s">
        <v>567</v>
      </c>
      <c r="D85" s="2" t="s">
        <v>215</v>
      </c>
      <c r="E85" s="2" t="s">
        <v>568</v>
      </c>
      <c r="F85" s="6">
        <v>46030.0</v>
      </c>
      <c r="G85" s="2" t="s">
        <v>231</v>
      </c>
      <c r="H85" s="2" t="s">
        <v>36</v>
      </c>
      <c r="I85" s="5">
        <v>46103.0</v>
      </c>
      <c r="J85" s="2" t="s">
        <v>42</v>
      </c>
      <c r="K85" s="2" t="s">
        <v>569</v>
      </c>
      <c r="L85" s="2" t="s">
        <v>344</v>
      </c>
      <c r="M85" s="2" t="s">
        <v>376</v>
      </c>
      <c r="N85" s="2" t="s">
        <v>51</v>
      </c>
      <c r="O85" s="2" t="s">
        <v>419</v>
      </c>
      <c r="P85" s="2" t="s">
        <v>240</v>
      </c>
      <c r="Q85" s="2" t="s">
        <v>570</v>
      </c>
      <c r="R85" s="2" t="s">
        <v>571</v>
      </c>
      <c r="S85" s="5">
        <v>46102.0</v>
      </c>
      <c r="T85" s="2" t="s">
        <v>419</v>
      </c>
      <c r="U85" s="2">
        <v>5.0</v>
      </c>
    </row>
    <row r="86">
      <c r="A86" s="2" t="s">
        <v>572</v>
      </c>
      <c r="B86" s="2" t="s">
        <v>33</v>
      </c>
      <c r="C86" s="2" t="s">
        <v>573</v>
      </c>
      <c r="D86" s="2" t="s">
        <v>131</v>
      </c>
      <c r="E86" s="2" t="s">
        <v>574</v>
      </c>
      <c r="F86" s="2" t="s">
        <v>131</v>
      </c>
      <c r="G86" s="2" t="s">
        <v>62</v>
      </c>
      <c r="H86" s="2" t="s">
        <v>302</v>
      </c>
      <c r="I86" s="2" t="s">
        <v>575</v>
      </c>
      <c r="J86" s="2" t="s">
        <v>68</v>
      </c>
      <c r="K86" s="5">
        <v>46195.0</v>
      </c>
      <c r="L86" s="2" t="s">
        <v>62</v>
      </c>
      <c r="M86" s="2" t="s">
        <v>80</v>
      </c>
      <c r="N86" s="2" t="s">
        <v>82</v>
      </c>
      <c r="O86" s="2" t="s">
        <v>48</v>
      </c>
      <c r="P86" s="2" t="s">
        <v>41</v>
      </c>
      <c r="Q86" s="2" t="s">
        <v>293</v>
      </c>
      <c r="R86" s="2" t="s">
        <v>576</v>
      </c>
      <c r="S86" s="2" t="s">
        <v>359</v>
      </c>
      <c r="T86" s="2" t="s">
        <v>577</v>
      </c>
      <c r="U86" s="2">
        <v>6.0</v>
      </c>
    </row>
    <row r="87">
      <c r="A87" s="2" t="s">
        <v>578</v>
      </c>
      <c r="B87" s="2" t="s">
        <v>143</v>
      </c>
      <c r="C87" s="2" t="s">
        <v>579</v>
      </c>
      <c r="D87" s="2" t="s">
        <v>64</v>
      </c>
      <c r="E87" s="2" t="s">
        <v>580</v>
      </c>
      <c r="F87" s="2" t="s">
        <v>215</v>
      </c>
      <c r="G87" s="2" t="s">
        <v>310</v>
      </c>
      <c r="H87" s="2" t="s">
        <v>201</v>
      </c>
      <c r="I87" s="2" t="s">
        <v>581</v>
      </c>
      <c r="J87" s="2" t="s">
        <v>92</v>
      </c>
      <c r="K87" s="2" t="s">
        <v>582</v>
      </c>
      <c r="L87" s="2" t="s">
        <v>191</v>
      </c>
      <c r="M87" s="2" t="s">
        <v>49</v>
      </c>
      <c r="N87" s="2" t="s">
        <v>90</v>
      </c>
      <c r="O87" s="2" t="s">
        <v>69</v>
      </c>
      <c r="P87" s="2" t="s">
        <v>69</v>
      </c>
      <c r="Q87" s="6">
        <v>46030.0</v>
      </c>
      <c r="R87" s="2" t="s">
        <v>583</v>
      </c>
      <c r="S87" s="2" t="s">
        <v>584</v>
      </c>
      <c r="T87" s="5">
        <v>46140.0</v>
      </c>
      <c r="U87" s="2">
        <v>6.0</v>
      </c>
    </row>
    <row r="88">
      <c r="A88" s="2" t="s">
        <v>585</v>
      </c>
      <c r="B88" s="2" t="s">
        <v>103</v>
      </c>
      <c r="C88" s="2" t="s">
        <v>581</v>
      </c>
      <c r="D88" s="2" t="s">
        <v>186</v>
      </c>
      <c r="E88" s="2" t="s">
        <v>586</v>
      </c>
      <c r="F88" s="2" t="s">
        <v>283</v>
      </c>
      <c r="G88" s="2" t="s">
        <v>93</v>
      </c>
      <c r="H88" s="2" t="s">
        <v>42</v>
      </c>
      <c r="I88" s="6">
        <v>46031.0</v>
      </c>
      <c r="J88" s="2" t="s">
        <v>68</v>
      </c>
      <c r="K88" s="2" t="s">
        <v>519</v>
      </c>
      <c r="L88" s="2" t="s">
        <v>78</v>
      </c>
      <c r="M88" s="2">
        <v>0.0</v>
      </c>
      <c r="N88" s="2" t="s">
        <v>114</v>
      </c>
      <c r="O88" s="2" t="s">
        <v>149</v>
      </c>
      <c r="P88" s="2" t="s">
        <v>181</v>
      </c>
      <c r="Q88" s="2" t="s">
        <v>248</v>
      </c>
      <c r="R88" s="2" t="s">
        <v>171</v>
      </c>
      <c r="S88" s="6">
        <v>46031.0</v>
      </c>
      <c r="T88" s="2" t="s">
        <v>587</v>
      </c>
      <c r="U88" s="2" t="s">
        <v>124</v>
      </c>
    </row>
    <row r="89">
      <c r="A89" s="2" t="s">
        <v>588</v>
      </c>
      <c r="B89" s="2" t="s">
        <v>134</v>
      </c>
      <c r="C89" s="2" t="s">
        <v>589</v>
      </c>
      <c r="D89" s="2" t="s">
        <v>131</v>
      </c>
      <c r="E89" s="2" t="s">
        <v>590</v>
      </c>
      <c r="F89" s="2" t="s">
        <v>465</v>
      </c>
      <c r="G89" s="2" t="s">
        <v>114</v>
      </c>
      <c r="H89" s="2" t="s">
        <v>81</v>
      </c>
      <c r="I89" s="2" t="s">
        <v>591</v>
      </c>
      <c r="J89" s="2" t="s">
        <v>90</v>
      </c>
      <c r="K89" s="6">
        <v>46144.0</v>
      </c>
      <c r="L89" s="2" t="s">
        <v>78</v>
      </c>
      <c r="M89" s="2">
        <v>0.0</v>
      </c>
      <c r="N89" s="2" t="s">
        <v>293</v>
      </c>
      <c r="O89" s="2" t="s">
        <v>114</v>
      </c>
      <c r="P89" s="2" t="s">
        <v>114</v>
      </c>
      <c r="Q89" s="2" t="s">
        <v>186</v>
      </c>
      <c r="R89" s="2" t="s">
        <v>592</v>
      </c>
      <c r="S89" s="5">
        <v>46062.0</v>
      </c>
      <c r="T89" s="6">
        <v>46204.0</v>
      </c>
      <c r="U89" s="2">
        <v>6.0</v>
      </c>
    </row>
    <row r="90">
      <c r="A90" s="2" t="s">
        <v>593</v>
      </c>
      <c r="B90" s="2" t="s">
        <v>33</v>
      </c>
      <c r="C90" s="6">
        <v>46204.0</v>
      </c>
      <c r="D90" s="2" t="s">
        <v>167</v>
      </c>
      <c r="E90" s="2" t="s">
        <v>594</v>
      </c>
      <c r="F90" s="2" t="s">
        <v>100</v>
      </c>
      <c r="G90" s="2" t="s">
        <v>42</v>
      </c>
      <c r="H90" s="2" t="s">
        <v>79</v>
      </c>
      <c r="I90" s="6">
        <v>46031.0</v>
      </c>
      <c r="J90" s="2" t="s">
        <v>82</v>
      </c>
      <c r="K90" s="5">
        <v>46054.0</v>
      </c>
      <c r="L90" s="2" t="s">
        <v>93</v>
      </c>
      <c r="M90" s="2" t="s">
        <v>48</v>
      </c>
      <c r="N90" s="2" t="s">
        <v>82</v>
      </c>
      <c r="O90" s="2">
        <v>0.0</v>
      </c>
      <c r="P90" s="2" t="s">
        <v>68</v>
      </c>
      <c r="Q90" s="2" t="s">
        <v>66</v>
      </c>
      <c r="R90" s="2" t="s">
        <v>559</v>
      </c>
      <c r="S90" s="5">
        <v>46043.0</v>
      </c>
      <c r="T90" s="2" t="s">
        <v>595</v>
      </c>
      <c r="U90" s="2">
        <v>5.0</v>
      </c>
    </row>
    <row r="91">
      <c r="A91" s="2" t="s">
        <v>596</v>
      </c>
      <c r="B91" s="2" t="s">
        <v>33</v>
      </c>
      <c r="C91" s="2" t="s">
        <v>597</v>
      </c>
      <c r="D91" s="2" t="s">
        <v>61</v>
      </c>
      <c r="E91" s="2" t="s">
        <v>598</v>
      </c>
      <c r="F91" s="2" t="s">
        <v>191</v>
      </c>
      <c r="G91" s="2" t="s">
        <v>178</v>
      </c>
      <c r="H91" s="2" t="s">
        <v>92</v>
      </c>
      <c r="I91" s="2" t="s">
        <v>575</v>
      </c>
      <c r="J91" s="2" t="s">
        <v>82</v>
      </c>
      <c r="K91" s="2" t="s">
        <v>599</v>
      </c>
      <c r="L91" s="5">
        <v>46036.0</v>
      </c>
      <c r="M91" s="2" t="s">
        <v>600</v>
      </c>
      <c r="N91" s="2" t="s">
        <v>45</v>
      </c>
      <c r="O91" s="2" t="s">
        <v>69</v>
      </c>
      <c r="P91" s="2" t="s">
        <v>82</v>
      </c>
      <c r="Q91" s="2" t="s">
        <v>328</v>
      </c>
      <c r="R91" s="2" t="s">
        <v>601</v>
      </c>
      <c r="S91" s="5">
        <v>46083.0</v>
      </c>
      <c r="T91" s="2" t="s">
        <v>263</v>
      </c>
      <c r="U91" s="2" t="s">
        <v>164</v>
      </c>
    </row>
    <row r="92">
      <c r="A92" s="2" t="s">
        <v>602</v>
      </c>
      <c r="B92" s="2" t="s">
        <v>73</v>
      </c>
      <c r="C92" s="2" t="s">
        <v>603</v>
      </c>
      <c r="D92" s="2" t="s">
        <v>100</v>
      </c>
      <c r="E92" s="2" t="s">
        <v>604</v>
      </c>
      <c r="F92" s="2" t="s">
        <v>63</v>
      </c>
      <c r="G92" s="2" t="s">
        <v>365</v>
      </c>
      <c r="H92" s="2" t="s">
        <v>81</v>
      </c>
      <c r="I92" s="2" t="s">
        <v>40</v>
      </c>
      <c r="J92" s="2" t="s">
        <v>181</v>
      </c>
      <c r="K92" s="6">
        <v>46025.0</v>
      </c>
      <c r="L92" s="2" t="s">
        <v>40</v>
      </c>
      <c r="M92" s="2" t="s">
        <v>45</v>
      </c>
      <c r="N92" s="2" t="s">
        <v>48</v>
      </c>
      <c r="O92" s="2" t="s">
        <v>48</v>
      </c>
      <c r="P92" s="2" t="s">
        <v>49</v>
      </c>
      <c r="Q92" s="2" t="s">
        <v>233</v>
      </c>
      <c r="R92" s="2" t="s">
        <v>454</v>
      </c>
      <c r="S92" s="2" t="s">
        <v>77</v>
      </c>
      <c r="T92" s="6">
        <v>46055.0</v>
      </c>
      <c r="U92" s="2">
        <v>5.0</v>
      </c>
    </row>
    <row r="93">
      <c r="A93" s="2" t="s">
        <v>605</v>
      </c>
      <c r="B93" s="2" t="s">
        <v>134</v>
      </c>
      <c r="C93" s="2" t="s">
        <v>606</v>
      </c>
      <c r="F93" s="2" t="s">
        <v>203</v>
      </c>
      <c r="G93" s="2">
        <v>0.0</v>
      </c>
      <c r="H93" s="2" t="s">
        <v>154</v>
      </c>
      <c r="I93" s="2" t="s">
        <v>324</v>
      </c>
      <c r="J93" s="2" t="s">
        <v>48</v>
      </c>
      <c r="K93" s="5">
        <v>46039.0</v>
      </c>
      <c r="L93" s="2" t="s">
        <v>45</v>
      </c>
      <c r="M93" s="2">
        <v>0.0</v>
      </c>
      <c r="N93" s="2" t="s">
        <v>66</v>
      </c>
      <c r="O93" s="2" t="s">
        <v>93</v>
      </c>
      <c r="P93" s="2" t="s">
        <v>69</v>
      </c>
      <c r="Q93" s="2" t="s">
        <v>77</v>
      </c>
      <c r="R93" s="2" t="s">
        <v>607</v>
      </c>
      <c r="S93" s="2" t="s">
        <v>254</v>
      </c>
      <c r="T93" s="2" t="s">
        <v>608</v>
      </c>
      <c r="U93" s="2">
        <v>6.0</v>
      </c>
    </row>
    <row r="94">
      <c r="A94" s="2" t="s">
        <v>609</v>
      </c>
      <c r="B94" s="2" t="s">
        <v>134</v>
      </c>
      <c r="C94" s="2">
        <v>49.0</v>
      </c>
      <c r="D94" s="2" t="s">
        <v>131</v>
      </c>
      <c r="E94" s="2" t="s">
        <v>610</v>
      </c>
      <c r="F94" s="2" t="s">
        <v>163</v>
      </c>
      <c r="G94" s="2" t="s">
        <v>92</v>
      </c>
      <c r="H94" s="2" t="s">
        <v>66</v>
      </c>
      <c r="I94" s="5">
        <v>46129.0</v>
      </c>
      <c r="J94" s="2" t="s">
        <v>283</v>
      </c>
      <c r="K94" s="2" t="s">
        <v>611</v>
      </c>
      <c r="L94" s="2" t="s">
        <v>240</v>
      </c>
      <c r="M94" s="2">
        <v>0.0</v>
      </c>
      <c r="N94" s="2" t="s">
        <v>93</v>
      </c>
      <c r="O94" s="2" t="s">
        <v>378</v>
      </c>
      <c r="P94" s="2" t="s">
        <v>69</v>
      </c>
      <c r="Q94" s="2" t="s">
        <v>324</v>
      </c>
      <c r="R94" s="2" t="s">
        <v>612</v>
      </c>
      <c r="S94" s="5">
        <v>46110.0</v>
      </c>
      <c r="T94" s="2" t="s">
        <v>613</v>
      </c>
      <c r="U94" s="2">
        <v>5.0</v>
      </c>
    </row>
    <row r="95">
      <c r="A95" s="2" t="s">
        <v>614</v>
      </c>
      <c r="B95" s="2" t="s">
        <v>33</v>
      </c>
      <c r="C95" s="5">
        <v>46106.0</v>
      </c>
      <c r="D95" s="2" t="s">
        <v>162</v>
      </c>
      <c r="E95" s="2" t="s">
        <v>615</v>
      </c>
      <c r="F95" s="2" t="s">
        <v>65</v>
      </c>
      <c r="G95" s="2" t="s">
        <v>45</v>
      </c>
      <c r="H95" s="2" t="s">
        <v>66</v>
      </c>
      <c r="I95" s="2" t="s">
        <v>616</v>
      </c>
      <c r="J95" s="2" t="s">
        <v>93</v>
      </c>
      <c r="K95" s="5">
        <v>46247.0</v>
      </c>
      <c r="L95" s="2" t="s">
        <v>48</v>
      </c>
      <c r="M95" s="2" t="s">
        <v>80</v>
      </c>
      <c r="N95" s="2">
        <v>0.0</v>
      </c>
      <c r="O95" s="2" t="s">
        <v>101</v>
      </c>
      <c r="P95" s="2" t="s">
        <v>91</v>
      </c>
      <c r="Q95" s="2" t="s">
        <v>65</v>
      </c>
      <c r="R95" s="2" t="s">
        <v>617</v>
      </c>
      <c r="S95" s="5">
        <v>46119.0</v>
      </c>
      <c r="T95" s="2" t="s">
        <v>618</v>
      </c>
      <c r="U95" s="2" t="s">
        <v>164</v>
      </c>
    </row>
    <row r="96">
      <c r="A96" s="2" t="s">
        <v>619</v>
      </c>
      <c r="B96" s="2" t="s">
        <v>33</v>
      </c>
      <c r="C96" s="2" t="s">
        <v>620</v>
      </c>
      <c r="D96" s="2" t="s">
        <v>250</v>
      </c>
      <c r="E96" s="2" t="s">
        <v>621</v>
      </c>
      <c r="F96" s="2" t="s">
        <v>83</v>
      </c>
      <c r="G96" s="2" t="s">
        <v>42</v>
      </c>
      <c r="H96" s="2" t="s">
        <v>93</v>
      </c>
      <c r="I96" s="2" t="s">
        <v>540</v>
      </c>
      <c r="J96" s="2" t="s">
        <v>80</v>
      </c>
      <c r="K96" s="2" t="s">
        <v>266</v>
      </c>
      <c r="L96" s="2" t="s">
        <v>300</v>
      </c>
      <c r="M96" s="2" t="s">
        <v>147</v>
      </c>
      <c r="N96" s="2" t="s">
        <v>69</v>
      </c>
      <c r="O96" s="2" t="s">
        <v>181</v>
      </c>
      <c r="P96" s="2" t="s">
        <v>41</v>
      </c>
      <c r="Q96" s="5">
        <v>46025.0</v>
      </c>
      <c r="R96" s="2" t="s">
        <v>622</v>
      </c>
      <c r="S96" s="5">
        <v>46023.0</v>
      </c>
      <c r="T96" s="2" t="s">
        <v>417</v>
      </c>
      <c r="U96" s="2" t="s">
        <v>124</v>
      </c>
    </row>
    <row r="97">
      <c r="A97" s="2" t="s">
        <v>623</v>
      </c>
      <c r="B97" s="2" t="s">
        <v>134</v>
      </c>
      <c r="C97" s="2" t="s">
        <v>624</v>
      </c>
      <c r="D97" s="2" t="s">
        <v>157</v>
      </c>
      <c r="E97" s="2" t="s">
        <v>625</v>
      </c>
      <c r="F97" s="2" t="s">
        <v>138</v>
      </c>
      <c r="G97" s="2" t="s">
        <v>41</v>
      </c>
      <c r="H97" s="2" t="s">
        <v>302</v>
      </c>
      <c r="I97" s="2" t="s">
        <v>93</v>
      </c>
      <c r="J97" s="2" t="s">
        <v>80</v>
      </c>
      <c r="K97" s="5">
        <v>46044.0</v>
      </c>
      <c r="L97" s="2" t="s">
        <v>138</v>
      </c>
      <c r="M97" s="2" t="s">
        <v>240</v>
      </c>
      <c r="N97" s="2" t="s">
        <v>61</v>
      </c>
      <c r="O97" s="2" t="s">
        <v>82</v>
      </c>
      <c r="P97" s="2" t="s">
        <v>149</v>
      </c>
      <c r="Q97" s="2" t="s">
        <v>626</v>
      </c>
      <c r="R97" s="2" t="s">
        <v>378</v>
      </c>
      <c r="S97" s="2" t="s">
        <v>305</v>
      </c>
      <c r="T97" s="2" t="s">
        <v>167</v>
      </c>
      <c r="U97" s="2">
        <v>6.0</v>
      </c>
    </row>
    <row r="98">
      <c r="A98" s="2" t="s">
        <v>627</v>
      </c>
      <c r="B98" s="2" t="s">
        <v>143</v>
      </c>
      <c r="C98" s="6">
        <v>46059.0</v>
      </c>
      <c r="D98" s="2" t="s">
        <v>236</v>
      </c>
      <c r="E98" s="2" t="s">
        <v>628</v>
      </c>
      <c r="F98" s="5">
        <v>46081.0</v>
      </c>
      <c r="G98" s="2" t="s">
        <v>93</v>
      </c>
      <c r="H98" s="6">
        <v>46055.0</v>
      </c>
      <c r="I98" s="2" t="s">
        <v>468</v>
      </c>
      <c r="J98" s="2" t="s">
        <v>149</v>
      </c>
      <c r="K98" s="5">
        <v>46202.0</v>
      </c>
      <c r="L98" s="5">
        <v>46082.0</v>
      </c>
      <c r="M98" s="2" t="s">
        <v>285</v>
      </c>
      <c r="N98" s="6">
        <v>46120.0</v>
      </c>
      <c r="O98" s="2" t="s">
        <v>600</v>
      </c>
      <c r="P98" s="2" t="s">
        <v>240</v>
      </c>
      <c r="Q98" s="2" t="s">
        <v>183</v>
      </c>
      <c r="R98" s="5">
        <v>46107.0</v>
      </c>
      <c r="S98" s="2" t="s">
        <v>350</v>
      </c>
      <c r="T98" s="2" t="s">
        <v>118</v>
      </c>
      <c r="U98" s="2">
        <v>5.0</v>
      </c>
    </row>
    <row r="99">
      <c r="A99" s="2" t="s">
        <v>629</v>
      </c>
      <c r="B99" s="2" t="s">
        <v>33</v>
      </c>
      <c r="C99" s="2" t="s">
        <v>630</v>
      </c>
      <c r="D99" s="2" t="s">
        <v>376</v>
      </c>
      <c r="E99" s="2" t="s">
        <v>631</v>
      </c>
      <c r="F99" s="2" t="s">
        <v>254</v>
      </c>
      <c r="G99" s="2" t="s">
        <v>38</v>
      </c>
      <c r="H99" s="2" t="s">
        <v>63</v>
      </c>
      <c r="I99" s="2" t="s">
        <v>136</v>
      </c>
      <c r="J99" s="2" t="s">
        <v>181</v>
      </c>
      <c r="K99" s="2" t="s">
        <v>632</v>
      </c>
      <c r="L99" s="2" t="s">
        <v>78</v>
      </c>
      <c r="M99" s="2" t="s">
        <v>49</v>
      </c>
      <c r="N99" s="2" t="s">
        <v>69</v>
      </c>
      <c r="O99" s="2" t="s">
        <v>80</v>
      </c>
      <c r="P99" s="2" t="s">
        <v>69</v>
      </c>
      <c r="Q99" s="2" t="s">
        <v>90</v>
      </c>
      <c r="R99" s="2" t="s">
        <v>633</v>
      </c>
      <c r="S99" s="5">
        <v>46075.0</v>
      </c>
      <c r="T99" s="5">
        <v>46333.0</v>
      </c>
      <c r="U99" s="2">
        <v>6.0</v>
      </c>
    </row>
    <row r="100">
      <c r="A100" s="2" t="s">
        <v>634</v>
      </c>
      <c r="B100" s="2" t="s">
        <v>73</v>
      </c>
      <c r="C100" s="6">
        <v>46058.0</v>
      </c>
      <c r="D100" s="2" t="s">
        <v>224</v>
      </c>
      <c r="E100" s="2" t="s">
        <v>635</v>
      </c>
      <c r="F100" s="2" t="s">
        <v>62</v>
      </c>
      <c r="G100" s="2" t="s">
        <v>231</v>
      </c>
      <c r="H100" s="2" t="s">
        <v>201</v>
      </c>
      <c r="I100" s="2" t="s">
        <v>233</v>
      </c>
      <c r="J100" s="2">
        <v>0.0</v>
      </c>
      <c r="K100" s="2" t="s">
        <v>468</v>
      </c>
      <c r="L100" s="2" t="s">
        <v>49</v>
      </c>
      <c r="M100" s="2" t="s">
        <v>128</v>
      </c>
      <c r="N100" s="2">
        <v>0.0</v>
      </c>
      <c r="O100" s="2">
        <v>0.0</v>
      </c>
      <c r="P100" s="2" t="s">
        <v>80</v>
      </c>
      <c r="Q100" s="2" t="s">
        <v>61</v>
      </c>
      <c r="R100" s="2" t="s">
        <v>636</v>
      </c>
      <c r="S100" s="2" t="s">
        <v>466</v>
      </c>
      <c r="T100" s="5">
        <v>46064.0</v>
      </c>
      <c r="U100" s="2" t="s">
        <v>124</v>
      </c>
    </row>
    <row r="101">
      <c r="A101" s="2" t="s">
        <v>637</v>
      </c>
      <c r="B101" s="2" t="s">
        <v>73</v>
      </c>
      <c r="C101" s="5">
        <v>46131.0</v>
      </c>
      <c r="D101" s="2" t="s">
        <v>201</v>
      </c>
      <c r="E101" s="2" t="s">
        <v>638</v>
      </c>
      <c r="F101" s="2" t="s">
        <v>365</v>
      </c>
      <c r="G101" s="2" t="s">
        <v>82</v>
      </c>
      <c r="H101" s="2" t="s">
        <v>167</v>
      </c>
      <c r="I101" s="2" t="s">
        <v>154</v>
      </c>
      <c r="J101" s="2" t="s">
        <v>82</v>
      </c>
      <c r="K101" s="5">
        <v>46043.0</v>
      </c>
      <c r="L101" s="2" t="s">
        <v>91</v>
      </c>
      <c r="M101" s="2" t="s">
        <v>348</v>
      </c>
      <c r="N101" s="2" t="s">
        <v>639</v>
      </c>
      <c r="O101" s="2" t="s">
        <v>310</v>
      </c>
      <c r="P101" s="2" t="s">
        <v>82</v>
      </c>
      <c r="Q101" s="2" t="s">
        <v>216</v>
      </c>
      <c r="R101" s="2" t="s">
        <v>475</v>
      </c>
      <c r="S101" s="2" t="s">
        <v>305</v>
      </c>
      <c r="T101" s="2" t="s">
        <v>300</v>
      </c>
      <c r="U101" s="2" t="s">
        <v>124</v>
      </c>
    </row>
    <row r="102">
      <c r="A102" s="2" t="s">
        <v>640</v>
      </c>
      <c r="B102" s="2" t="s">
        <v>73</v>
      </c>
      <c r="C102" s="5">
        <v>46189.0</v>
      </c>
      <c r="D102" s="2" t="s">
        <v>128</v>
      </c>
      <c r="E102" s="2" t="s">
        <v>641</v>
      </c>
      <c r="F102" s="2" t="s">
        <v>44</v>
      </c>
      <c r="G102" s="2" t="s">
        <v>310</v>
      </c>
      <c r="H102" s="2" t="s">
        <v>154</v>
      </c>
      <c r="I102" s="2" t="s">
        <v>499</v>
      </c>
      <c r="J102" s="2" t="s">
        <v>114</v>
      </c>
      <c r="K102" s="2" t="s">
        <v>591</v>
      </c>
      <c r="L102" s="2" t="s">
        <v>79</v>
      </c>
      <c r="M102" s="2" t="s">
        <v>365</v>
      </c>
      <c r="N102" s="2" t="s">
        <v>48</v>
      </c>
      <c r="O102" s="2" t="s">
        <v>63</v>
      </c>
      <c r="P102" s="2" t="s">
        <v>48</v>
      </c>
      <c r="Q102" s="2" t="s">
        <v>305</v>
      </c>
      <c r="R102" s="2">
        <v>-3.0</v>
      </c>
      <c r="S102" s="5">
        <v>46066.0</v>
      </c>
      <c r="T102" s="5">
        <v>46145.0</v>
      </c>
      <c r="U102" s="2" t="s">
        <v>124</v>
      </c>
    </row>
    <row r="103">
      <c r="A103" s="2" t="s">
        <v>642</v>
      </c>
      <c r="B103" s="2" t="s">
        <v>143</v>
      </c>
      <c r="C103" s="6">
        <v>46084.0</v>
      </c>
      <c r="D103" s="2" t="s">
        <v>111</v>
      </c>
      <c r="E103" s="2" t="s">
        <v>643</v>
      </c>
      <c r="F103" s="2" t="s">
        <v>519</v>
      </c>
      <c r="G103" s="2" t="s">
        <v>66</v>
      </c>
      <c r="H103" s="5">
        <v>46050.0</v>
      </c>
      <c r="I103" s="5">
        <v>46068.0</v>
      </c>
      <c r="J103" s="2" t="s">
        <v>78</v>
      </c>
      <c r="K103" s="2" t="s">
        <v>644</v>
      </c>
      <c r="L103" s="6">
        <v>46084.0</v>
      </c>
      <c r="M103" s="2" t="s">
        <v>149</v>
      </c>
      <c r="N103" s="6">
        <v>46062.0</v>
      </c>
      <c r="O103" s="2" t="s">
        <v>38</v>
      </c>
      <c r="P103" s="2" t="s">
        <v>91</v>
      </c>
      <c r="Q103" s="2" t="s">
        <v>645</v>
      </c>
      <c r="R103" s="2" t="s">
        <v>646</v>
      </c>
      <c r="S103" s="2" t="s">
        <v>433</v>
      </c>
      <c r="T103" s="6">
        <v>46025.0</v>
      </c>
      <c r="U103" s="2">
        <v>5.0</v>
      </c>
    </row>
    <row r="104">
      <c r="A104" s="2" t="s">
        <v>647</v>
      </c>
      <c r="B104" s="2" t="s">
        <v>143</v>
      </c>
      <c r="C104" s="2" t="s">
        <v>88</v>
      </c>
      <c r="D104" s="2" t="s">
        <v>131</v>
      </c>
      <c r="E104" s="2" t="s">
        <v>648</v>
      </c>
      <c r="F104" s="5">
        <v>46023.0</v>
      </c>
      <c r="G104" s="2" t="s">
        <v>376</v>
      </c>
      <c r="H104" s="6">
        <v>46025.0</v>
      </c>
      <c r="I104" s="2" t="s">
        <v>649</v>
      </c>
      <c r="J104" s="2" t="s">
        <v>240</v>
      </c>
      <c r="K104" s="2" t="s">
        <v>650</v>
      </c>
      <c r="L104" s="2" t="s">
        <v>138</v>
      </c>
      <c r="M104" s="2" t="s">
        <v>41</v>
      </c>
      <c r="N104" s="2" t="s">
        <v>131</v>
      </c>
      <c r="O104" s="2">
        <v>0.0</v>
      </c>
      <c r="P104" s="2" t="s">
        <v>154</v>
      </c>
      <c r="Q104" s="2" t="s">
        <v>539</v>
      </c>
      <c r="R104" s="2" t="s">
        <v>651</v>
      </c>
      <c r="S104" s="5">
        <v>46279.0</v>
      </c>
      <c r="T104" s="2" t="s">
        <v>652</v>
      </c>
      <c r="U104" s="2">
        <v>5.0</v>
      </c>
    </row>
    <row r="105">
      <c r="A105" s="2" t="s">
        <v>653</v>
      </c>
      <c r="B105" s="2" t="s">
        <v>58</v>
      </c>
      <c r="C105" s="5">
        <v>46064.0</v>
      </c>
      <c r="D105" s="2" t="s">
        <v>128</v>
      </c>
      <c r="E105" s="2" t="s">
        <v>654</v>
      </c>
      <c r="F105" s="2" t="s">
        <v>275</v>
      </c>
      <c r="G105" s="2" t="s">
        <v>66</v>
      </c>
      <c r="H105" s="2" t="s">
        <v>285</v>
      </c>
      <c r="I105" s="6">
        <v>46059.0</v>
      </c>
      <c r="J105" s="2" t="s">
        <v>82</v>
      </c>
      <c r="K105" s="5">
        <v>46107.0</v>
      </c>
      <c r="L105" s="2" t="s">
        <v>199</v>
      </c>
      <c r="M105" s="2" t="s">
        <v>79</v>
      </c>
      <c r="N105" s="2" t="s">
        <v>249</v>
      </c>
      <c r="O105" s="2" t="s">
        <v>48</v>
      </c>
      <c r="P105" s="2" t="s">
        <v>48</v>
      </c>
      <c r="Q105" s="2" t="s">
        <v>528</v>
      </c>
      <c r="R105" s="2" t="s">
        <v>655</v>
      </c>
      <c r="S105" s="2" t="s">
        <v>564</v>
      </c>
      <c r="T105" s="5">
        <v>46069.0</v>
      </c>
      <c r="U105" s="2">
        <v>6.0</v>
      </c>
    </row>
    <row r="106">
      <c r="A106" s="2" t="s">
        <v>656</v>
      </c>
      <c r="B106" s="2" t="s">
        <v>73</v>
      </c>
      <c r="C106" s="2" t="s">
        <v>657</v>
      </c>
      <c r="D106" s="2" t="s">
        <v>233</v>
      </c>
      <c r="E106" s="2" t="s">
        <v>658</v>
      </c>
      <c r="F106" s="2" t="s">
        <v>81</v>
      </c>
      <c r="G106" s="2" t="s">
        <v>130</v>
      </c>
      <c r="H106" s="2" t="s">
        <v>45</v>
      </c>
      <c r="I106" s="2" t="s">
        <v>68</v>
      </c>
      <c r="J106" s="2" t="s">
        <v>48</v>
      </c>
      <c r="K106" s="2" t="s">
        <v>225</v>
      </c>
      <c r="L106" s="2" t="s">
        <v>97</v>
      </c>
      <c r="M106" s="5">
        <v>46025.0</v>
      </c>
      <c r="N106" s="2" t="s">
        <v>213</v>
      </c>
      <c r="O106" s="2" t="s">
        <v>66</v>
      </c>
      <c r="P106" s="2" t="s">
        <v>69</v>
      </c>
      <c r="Q106" s="2" t="s">
        <v>659</v>
      </c>
      <c r="R106" s="2" t="s">
        <v>383</v>
      </c>
      <c r="S106" s="2" t="s">
        <v>138</v>
      </c>
      <c r="T106" s="2" t="s">
        <v>199</v>
      </c>
      <c r="U106" s="2">
        <v>6.0</v>
      </c>
    </row>
    <row r="107">
      <c r="A107" s="2" t="s">
        <v>660</v>
      </c>
      <c r="B107" s="2" t="s">
        <v>73</v>
      </c>
      <c r="C107" s="2" t="s">
        <v>661</v>
      </c>
      <c r="D107" s="2" t="s">
        <v>248</v>
      </c>
      <c r="E107" s="2" t="s">
        <v>662</v>
      </c>
      <c r="F107" s="2" t="s">
        <v>248</v>
      </c>
      <c r="G107" s="2" t="s">
        <v>181</v>
      </c>
      <c r="H107" s="2" t="s">
        <v>40</v>
      </c>
      <c r="I107" s="2" t="s">
        <v>68</v>
      </c>
      <c r="J107" s="2" t="s">
        <v>80</v>
      </c>
      <c r="K107" s="2" t="s">
        <v>236</v>
      </c>
      <c r="L107" s="2" t="s">
        <v>123</v>
      </c>
      <c r="M107" s="2" t="s">
        <v>68</v>
      </c>
      <c r="N107" s="2" t="s">
        <v>48</v>
      </c>
      <c r="O107" s="2" t="s">
        <v>69</v>
      </c>
      <c r="P107" s="2" t="s">
        <v>181</v>
      </c>
      <c r="Q107" s="2" t="s">
        <v>118</v>
      </c>
      <c r="R107" s="2" t="s">
        <v>663</v>
      </c>
      <c r="S107" s="2" t="s">
        <v>300</v>
      </c>
      <c r="T107" s="5">
        <v>46044.0</v>
      </c>
      <c r="U107" s="2">
        <v>5.0</v>
      </c>
    </row>
    <row r="108">
      <c r="A108" s="2" t="s">
        <v>664</v>
      </c>
      <c r="B108" s="2" t="s">
        <v>134</v>
      </c>
      <c r="C108" s="2" t="s">
        <v>665</v>
      </c>
      <c r="D108" s="2" t="s">
        <v>394</v>
      </c>
      <c r="E108" s="2" t="s">
        <v>666</v>
      </c>
      <c r="F108" s="2" t="s">
        <v>254</v>
      </c>
      <c r="G108" s="2" t="s">
        <v>92</v>
      </c>
      <c r="H108" s="2" t="s">
        <v>199</v>
      </c>
      <c r="I108" s="5">
        <v>46054.0</v>
      </c>
      <c r="J108" s="2" t="s">
        <v>302</v>
      </c>
      <c r="K108" s="2" t="s">
        <v>667</v>
      </c>
      <c r="L108" s="2" t="s">
        <v>167</v>
      </c>
      <c r="M108" s="2" t="s">
        <v>80</v>
      </c>
      <c r="N108" s="2" t="s">
        <v>59</v>
      </c>
      <c r="O108" s="2" t="s">
        <v>344</v>
      </c>
      <c r="P108" s="2" t="s">
        <v>68</v>
      </c>
      <c r="Q108" s="2" t="s">
        <v>668</v>
      </c>
      <c r="R108" s="2" t="s">
        <v>669</v>
      </c>
      <c r="S108" s="5">
        <v>46067.0</v>
      </c>
      <c r="T108" s="2" t="s">
        <v>670</v>
      </c>
      <c r="U108" s="2" t="s">
        <v>124</v>
      </c>
    </row>
    <row r="109">
      <c r="A109" s="2" t="s">
        <v>671</v>
      </c>
      <c r="B109" s="2" t="s">
        <v>73</v>
      </c>
      <c r="C109" s="2" t="s">
        <v>672</v>
      </c>
      <c r="D109" s="2" t="s">
        <v>283</v>
      </c>
      <c r="E109" s="2" t="s">
        <v>673</v>
      </c>
      <c r="F109" s="2" t="s">
        <v>88</v>
      </c>
      <c r="G109" s="2" t="s">
        <v>118</v>
      </c>
      <c r="H109" s="2" t="s">
        <v>79</v>
      </c>
      <c r="I109" s="2" t="s">
        <v>114</v>
      </c>
      <c r="J109" s="2" t="s">
        <v>82</v>
      </c>
      <c r="K109" s="2" t="s">
        <v>381</v>
      </c>
      <c r="L109" s="2" t="s">
        <v>233</v>
      </c>
      <c r="M109" s="2" t="s">
        <v>163</v>
      </c>
      <c r="N109" s="2" t="s">
        <v>63</v>
      </c>
      <c r="O109" s="2" t="s">
        <v>181</v>
      </c>
      <c r="P109" s="2" t="s">
        <v>69</v>
      </c>
      <c r="Q109" s="2" t="s">
        <v>470</v>
      </c>
      <c r="R109" s="2" t="s">
        <v>181</v>
      </c>
      <c r="S109" s="2" t="s">
        <v>159</v>
      </c>
      <c r="T109" s="2" t="s">
        <v>177</v>
      </c>
      <c r="U109" s="2">
        <v>6.0</v>
      </c>
    </row>
    <row r="110">
      <c r="A110" s="2" t="s">
        <v>674</v>
      </c>
      <c r="B110" s="2" t="s">
        <v>103</v>
      </c>
      <c r="C110" s="2" t="s">
        <v>378</v>
      </c>
      <c r="F110" s="2" t="s">
        <v>240</v>
      </c>
      <c r="G110" s="2" t="s">
        <v>48</v>
      </c>
      <c r="H110" s="2" t="s">
        <v>92</v>
      </c>
      <c r="I110" s="2" t="s">
        <v>675</v>
      </c>
      <c r="J110" s="2" t="s">
        <v>49</v>
      </c>
      <c r="K110" s="6">
        <v>46061.0</v>
      </c>
      <c r="L110" s="2" t="s">
        <v>240</v>
      </c>
      <c r="M110" s="2" t="s">
        <v>48</v>
      </c>
      <c r="N110" s="2" t="s">
        <v>114</v>
      </c>
      <c r="O110" s="2" t="s">
        <v>93</v>
      </c>
      <c r="P110" s="2" t="s">
        <v>49</v>
      </c>
      <c r="Q110" s="2" t="s">
        <v>298</v>
      </c>
      <c r="R110" s="2" t="s">
        <v>676</v>
      </c>
      <c r="S110" s="5">
        <v>46024.0</v>
      </c>
      <c r="T110" s="2" t="s">
        <v>456</v>
      </c>
      <c r="U110" s="2" t="s">
        <v>124</v>
      </c>
    </row>
    <row r="111">
      <c r="A111" s="2" t="s">
        <v>677</v>
      </c>
      <c r="B111" s="2" t="s">
        <v>73</v>
      </c>
      <c r="C111" s="5">
        <v>46089.0</v>
      </c>
      <c r="D111" s="2" t="s">
        <v>51</v>
      </c>
      <c r="E111" s="2" t="s">
        <v>678</v>
      </c>
      <c r="F111" s="2" t="s">
        <v>298</v>
      </c>
      <c r="G111" s="5">
        <v>46024.0</v>
      </c>
      <c r="H111" s="2" t="s">
        <v>66</v>
      </c>
      <c r="I111" s="2" t="s">
        <v>65</v>
      </c>
      <c r="J111" s="2" t="s">
        <v>91</v>
      </c>
      <c r="K111" s="2" t="s">
        <v>679</v>
      </c>
      <c r="L111" s="2" t="s">
        <v>114</v>
      </c>
      <c r="M111" s="2" t="s">
        <v>680</v>
      </c>
      <c r="N111" s="2" t="s">
        <v>181</v>
      </c>
      <c r="O111" s="2" t="s">
        <v>681</v>
      </c>
      <c r="P111" s="2" t="s">
        <v>49</v>
      </c>
      <c r="Q111" s="2" t="s">
        <v>207</v>
      </c>
      <c r="R111" s="2" t="s">
        <v>600</v>
      </c>
      <c r="S111" s="2" t="s">
        <v>417</v>
      </c>
      <c r="T111" s="2" t="s">
        <v>138</v>
      </c>
      <c r="U111" s="2" t="s">
        <v>124</v>
      </c>
    </row>
    <row r="112">
      <c r="A112" s="2" t="s">
        <v>682</v>
      </c>
      <c r="B112" s="2" t="s">
        <v>73</v>
      </c>
      <c r="C112" s="5">
        <v>46046.0</v>
      </c>
      <c r="D112" s="2" t="s">
        <v>394</v>
      </c>
      <c r="E112" s="2" t="s">
        <v>683</v>
      </c>
      <c r="F112" s="2" t="s">
        <v>88</v>
      </c>
      <c r="G112" s="2" t="s">
        <v>62</v>
      </c>
      <c r="H112" s="2" t="s">
        <v>42</v>
      </c>
      <c r="I112" s="2" t="s">
        <v>684</v>
      </c>
      <c r="J112" s="2" t="s">
        <v>65</v>
      </c>
      <c r="K112" s="2" t="s">
        <v>685</v>
      </c>
      <c r="L112" s="2" t="s">
        <v>154</v>
      </c>
      <c r="M112" s="2">
        <v>0.0</v>
      </c>
      <c r="N112" s="2" t="s">
        <v>80</v>
      </c>
      <c r="O112" s="2" t="s">
        <v>157</v>
      </c>
      <c r="P112" s="2">
        <v>0.0</v>
      </c>
      <c r="Q112" s="2" t="s">
        <v>163</v>
      </c>
      <c r="R112" s="2" t="s">
        <v>686</v>
      </c>
      <c r="S112" s="2">
        <v>2.0</v>
      </c>
      <c r="T112" s="2" t="s">
        <v>687</v>
      </c>
      <c r="U112" s="2">
        <v>5.0</v>
      </c>
    </row>
    <row r="113">
      <c r="A113" s="2" t="s">
        <v>688</v>
      </c>
      <c r="B113" s="2" t="s">
        <v>103</v>
      </c>
      <c r="C113" s="2" t="s">
        <v>689</v>
      </c>
      <c r="D113" s="2" t="s">
        <v>167</v>
      </c>
      <c r="E113" s="2" t="s">
        <v>690</v>
      </c>
      <c r="F113" s="2" t="s">
        <v>65</v>
      </c>
      <c r="G113" s="2" t="s">
        <v>45</v>
      </c>
      <c r="H113" s="2" t="s">
        <v>63</v>
      </c>
      <c r="I113" s="2" t="s">
        <v>262</v>
      </c>
      <c r="J113" s="2" t="s">
        <v>69</v>
      </c>
      <c r="K113" s="2" t="s">
        <v>691</v>
      </c>
      <c r="L113" s="2" t="s">
        <v>101</v>
      </c>
      <c r="M113" s="2" t="s">
        <v>45</v>
      </c>
      <c r="N113" s="2" t="s">
        <v>300</v>
      </c>
      <c r="O113" s="2" t="s">
        <v>154</v>
      </c>
      <c r="P113" s="2" t="s">
        <v>181</v>
      </c>
      <c r="Q113" s="5">
        <v>46049.0</v>
      </c>
      <c r="R113" s="2" t="s">
        <v>692</v>
      </c>
      <c r="S113" s="2" t="s">
        <v>119</v>
      </c>
      <c r="T113" s="5">
        <v>46080.0</v>
      </c>
      <c r="U113" s="2">
        <v>5.0</v>
      </c>
    </row>
    <row r="114">
      <c r="A114" s="2" t="s">
        <v>693</v>
      </c>
      <c r="B114" s="2" t="s">
        <v>58</v>
      </c>
      <c r="C114" s="2" t="s">
        <v>694</v>
      </c>
      <c r="D114" s="2" t="s">
        <v>324</v>
      </c>
      <c r="E114" s="2" t="s">
        <v>695</v>
      </c>
      <c r="F114" s="2" t="s">
        <v>248</v>
      </c>
      <c r="G114" s="2" t="s">
        <v>41</v>
      </c>
      <c r="H114" s="2" t="s">
        <v>91</v>
      </c>
      <c r="I114" s="6">
        <v>46025.0</v>
      </c>
      <c r="J114" s="2" t="s">
        <v>69</v>
      </c>
      <c r="K114" s="2" t="s">
        <v>387</v>
      </c>
      <c r="L114" s="2" t="s">
        <v>83</v>
      </c>
      <c r="M114" s="2" t="s">
        <v>68</v>
      </c>
      <c r="N114" s="2" t="s">
        <v>114</v>
      </c>
      <c r="O114" s="2" t="s">
        <v>80</v>
      </c>
      <c r="P114" s="2" t="s">
        <v>82</v>
      </c>
      <c r="Q114" s="2" t="s">
        <v>213</v>
      </c>
      <c r="R114" s="2" t="s">
        <v>696</v>
      </c>
      <c r="S114" s="6">
        <v>46025.0</v>
      </c>
      <c r="T114" s="5">
        <v>46076.0</v>
      </c>
      <c r="U114" s="2">
        <v>5.0</v>
      </c>
    </row>
    <row r="115">
      <c r="A115" s="2" t="s">
        <v>697</v>
      </c>
      <c r="B115" s="2" t="s">
        <v>134</v>
      </c>
      <c r="C115" s="5">
        <v>46061.0</v>
      </c>
      <c r="D115" s="2" t="s">
        <v>163</v>
      </c>
      <c r="E115" s="2" t="s">
        <v>698</v>
      </c>
      <c r="F115" s="2" t="s">
        <v>67</v>
      </c>
      <c r="G115" s="2" t="s">
        <v>272</v>
      </c>
      <c r="H115" s="2" t="s">
        <v>79</v>
      </c>
      <c r="I115" s="6">
        <v>46062.0</v>
      </c>
      <c r="J115" s="2">
        <v>0.0</v>
      </c>
      <c r="K115" s="6">
        <v>46181.0</v>
      </c>
      <c r="L115" s="2" t="s">
        <v>66</v>
      </c>
      <c r="M115" s="5">
        <v>46257.0</v>
      </c>
      <c r="N115" s="6">
        <v>46206.0</v>
      </c>
      <c r="O115" s="2" t="s">
        <v>154</v>
      </c>
      <c r="P115" s="2" t="s">
        <v>181</v>
      </c>
      <c r="Q115" s="2" t="s">
        <v>699</v>
      </c>
      <c r="R115" s="2" t="s">
        <v>700</v>
      </c>
      <c r="S115" s="2" t="s">
        <v>694</v>
      </c>
      <c r="T115" s="2" t="s">
        <v>298</v>
      </c>
      <c r="U115" s="2" t="s">
        <v>124</v>
      </c>
    </row>
    <row r="116">
      <c r="A116" s="2" t="s">
        <v>701</v>
      </c>
      <c r="B116" s="2" t="s">
        <v>58</v>
      </c>
      <c r="C116" s="2" t="s">
        <v>275</v>
      </c>
      <c r="D116" s="2" t="s">
        <v>213</v>
      </c>
      <c r="E116" s="2" t="s">
        <v>702</v>
      </c>
      <c r="F116" s="2" t="s">
        <v>96</v>
      </c>
      <c r="G116" s="2" t="s">
        <v>90</v>
      </c>
      <c r="H116" s="2" t="s">
        <v>275</v>
      </c>
      <c r="I116" s="5">
        <v>46066.0</v>
      </c>
      <c r="J116" s="2" t="s">
        <v>181</v>
      </c>
      <c r="K116" s="2" t="s">
        <v>121</v>
      </c>
      <c r="L116" s="2" t="s">
        <v>154</v>
      </c>
      <c r="M116" s="2" t="s">
        <v>62</v>
      </c>
      <c r="N116" s="2" t="s">
        <v>659</v>
      </c>
      <c r="O116" s="2" t="s">
        <v>45</v>
      </c>
      <c r="P116" s="2" t="s">
        <v>80</v>
      </c>
      <c r="Q116" s="5">
        <v>46105.0</v>
      </c>
      <c r="R116" s="2" t="s">
        <v>703</v>
      </c>
      <c r="S116" s="5">
        <v>46072.0</v>
      </c>
      <c r="T116" s="5">
        <v>46039.0</v>
      </c>
      <c r="U116" s="2">
        <v>5.0</v>
      </c>
    </row>
    <row r="117">
      <c r="A117" s="2" t="s">
        <v>704</v>
      </c>
      <c r="B117" s="2" t="s">
        <v>103</v>
      </c>
      <c r="C117" s="2">
        <v>0.0</v>
      </c>
      <c r="K117" s="2" t="s">
        <v>705</v>
      </c>
      <c r="Q117" s="2" t="s">
        <v>563</v>
      </c>
      <c r="R117" s="2" t="s">
        <v>706</v>
      </c>
      <c r="S117" s="2" t="s">
        <v>707</v>
      </c>
      <c r="T117" s="2" t="s">
        <v>708</v>
      </c>
      <c r="U117" s="2">
        <v>2.0</v>
      </c>
    </row>
    <row r="118">
      <c r="A118" s="2" t="s">
        <v>709</v>
      </c>
      <c r="B118" s="2" t="s">
        <v>73</v>
      </c>
      <c r="C118" s="2" t="s">
        <v>710</v>
      </c>
      <c r="D118" s="2" t="s">
        <v>275</v>
      </c>
      <c r="E118" s="2" t="s">
        <v>711</v>
      </c>
      <c r="F118" s="2" t="s">
        <v>77</v>
      </c>
      <c r="G118" s="2" t="s">
        <v>79</v>
      </c>
      <c r="H118" s="2" t="s">
        <v>154</v>
      </c>
      <c r="I118" s="2" t="s">
        <v>254</v>
      </c>
      <c r="J118" s="2" t="s">
        <v>69</v>
      </c>
      <c r="K118" s="2" t="s">
        <v>539</v>
      </c>
      <c r="L118" s="2" t="s">
        <v>130</v>
      </c>
      <c r="M118" s="2" t="s">
        <v>79</v>
      </c>
      <c r="N118" s="2" t="s">
        <v>114</v>
      </c>
      <c r="O118" s="2" t="s">
        <v>68</v>
      </c>
      <c r="P118" s="2" t="s">
        <v>82</v>
      </c>
      <c r="Q118" s="2" t="s">
        <v>163</v>
      </c>
      <c r="R118" s="2" t="s">
        <v>712</v>
      </c>
      <c r="S118" s="2" t="s">
        <v>177</v>
      </c>
      <c r="T118" s="2" t="s">
        <v>713</v>
      </c>
      <c r="U118" s="2">
        <v>5.0</v>
      </c>
    </row>
    <row r="119">
      <c r="A119" s="2" t="s">
        <v>714</v>
      </c>
      <c r="B119" s="2" t="s">
        <v>73</v>
      </c>
      <c r="C119" s="2" t="s">
        <v>715</v>
      </c>
      <c r="D119" s="2" t="s">
        <v>283</v>
      </c>
      <c r="E119" s="2" t="s">
        <v>716</v>
      </c>
      <c r="F119" s="2" t="s">
        <v>285</v>
      </c>
      <c r="G119" s="2" t="s">
        <v>82</v>
      </c>
      <c r="H119" s="2" t="s">
        <v>67</v>
      </c>
      <c r="I119" s="2" t="s">
        <v>79</v>
      </c>
      <c r="J119" s="2" t="s">
        <v>82</v>
      </c>
      <c r="K119" s="2" t="s">
        <v>64</v>
      </c>
      <c r="L119" s="2" t="s">
        <v>203</v>
      </c>
      <c r="M119" s="2" t="s">
        <v>466</v>
      </c>
      <c r="N119" s="2" t="s">
        <v>348</v>
      </c>
      <c r="O119" s="2" t="s">
        <v>79</v>
      </c>
      <c r="P119" s="2" t="s">
        <v>181</v>
      </c>
      <c r="Q119" s="6">
        <v>46059.0</v>
      </c>
      <c r="R119" s="5">
        <v>46041.0</v>
      </c>
      <c r="S119" s="2" t="s">
        <v>51</v>
      </c>
      <c r="T119" s="2" t="s">
        <v>201</v>
      </c>
      <c r="U119" s="2">
        <v>5.0</v>
      </c>
    </row>
    <row r="120">
      <c r="A120" s="2" t="s">
        <v>717</v>
      </c>
      <c r="B120" s="2" t="s">
        <v>134</v>
      </c>
      <c r="C120" s="2" t="s">
        <v>718</v>
      </c>
      <c r="D120" s="2" t="s">
        <v>465</v>
      </c>
      <c r="E120" s="2" t="s">
        <v>719</v>
      </c>
      <c r="F120" s="2" t="s">
        <v>213</v>
      </c>
      <c r="G120" s="2" t="s">
        <v>80</v>
      </c>
      <c r="H120" s="2" t="s">
        <v>310</v>
      </c>
      <c r="I120" s="2" t="s">
        <v>93</v>
      </c>
      <c r="J120" s="2" t="s">
        <v>114</v>
      </c>
      <c r="K120" s="2" t="s">
        <v>720</v>
      </c>
      <c r="L120" s="2" t="s">
        <v>159</v>
      </c>
      <c r="M120" s="2">
        <v>0.0</v>
      </c>
      <c r="N120" s="2" t="s">
        <v>157</v>
      </c>
      <c r="O120" s="2" t="s">
        <v>203</v>
      </c>
      <c r="P120" s="2" t="s">
        <v>149</v>
      </c>
      <c r="Q120" s="2" t="s">
        <v>721</v>
      </c>
      <c r="R120" s="2" t="s">
        <v>283</v>
      </c>
      <c r="S120" s="2" t="s">
        <v>111</v>
      </c>
      <c r="T120" s="2" t="s">
        <v>61</v>
      </c>
      <c r="U120" s="2">
        <v>6.0</v>
      </c>
    </row>
    <row r="121">
      <c r="A121" s="2" t="s">
        <v>722</v>
      </c>
      <c r="B121" s="2" t="s">
        <v>73</v>
      </c>
      <c r="C121" s="5">
        <v>46079.0</v>
      </c>
      <c r="D121" s="2" t="s">
        <v>275</v>
      </c>
      <c r="E121" s="2" t="s">
        <v>723</v>
      </c>
      <c r="F121" s="2" t="s">
        <v>90</v>
      </c>
      <c r="G121" s="2" t="s">
        <v>365</v>
      </c>
      <c r="H121" s="2" t="s">
        <v>79</v>
      </c>
      <c r="I121" s="6">
        <v>46024.0</v>
      </c>
      <c r="J121" s="2" t="s">
        <v>186</v>
      </c>
      <c r="K121" s="2" t="s">
        <v>312</v>
      </c>
      <c r="L121" s="2" t="s">
        <v>154</v>
      </c>
      <c r="M121" s="5">
        <v>46028.0</v>
      </c>
      <c r="N121" s="2" t="s">
        <v>302</v>
      </c>
      <c r="O121" s="2" t="s">
        <v>724</v>
      </c>
      <c r="P121" s="2" t="s">
        <v>48</v>
      </c>
      <c r="Q121" s="2" t="s">
        <v>725</v>
      </c>
      <c r="R121" s="5">
        <v>46116.0</v>
      </c>
      <c r="S121" s="2" t="s">
        <v>720</v>
      </c>
      <c r="T121" s="2" t="s">
        <v>302</v>
      </c>
      <c r="U121" s="2" t="s">
        <v>164</v>
      </c>
    </row>
    <row r="122">
      <c r="A122" s="2" t="s">
        <v>726</v>
      </c>
      <c r="B122" s="2" t="s">
        <v>134</v>
      </c>
      <c r="C122" s="2" t="s">
        <v>80</v>
      </c>
      <c r="K122" s="2" t="s">
        <v>222</v>
      </c>
      <c r="Q122" s="2" t="s">
        <v>178</v>
      </c>
      <c r="R122" s="2" t="s">
        <v>727</v>
      </c>
      <c r="S122" s="5">
        <v>46029.0</v>
      </c>
      <c r="T122" s="2" t="s">
        <v>728</v>
      </c>
      <c r="U122" s="2">
        <v>2.0</v>
      </c>
    </row>
    <row r="123">
      <c r="A123" s="2" t="s">
        <v>729</v>
      </c>
      <c r="B123" s="2" t="s">
        <v>134</v>
      </c>
      <c r="C123" s="2" t="s">
        <v>730</v>
      </c>
      <c r="D123" s="2" t="s">
        <v>100</v>
      </c>
      <c r="E123" s="2" t="s">
        <v>731</v>
      </c>
      <c r="F123" s="2" t="s">
        <v>248</v>
      </c>
      <c r="G123" s="2" t="s">
        <v>68</v>
      </c>
      <c r="H123" s="2" t="s">
        <v>66</v>
      </c>
      <c r="I123" s="2" t="s">
        <v>78</v>
      </c>
      <c r="J123" s="2">
        <v>0.0</v>
      </c>
      <c r="K123" s="2" t="s">
        <v>303</v>
      </c>
      <c r="L123" s="2" t="s">
        <v>101</v>
      </c>
      <c r="M123" s="2" t="s">
        <v>181</v>
      </c>
      <c r="N123" s="2" t="s">
        <v>69</v>
      </c>
      <c r="O123" s="2" t="s">
        <v>80</v>
      </c>
      <c r="P123" s="2" t="s">
        <v>149</v>
      </c>
      <c r="Q123" s="2" t="s">
        <v>83</v>
      </c>
      <c r="R123" s="2" t="s">
        <v>732</v>
      </c>
      <c r="S123" s="2" t="s">
        <v>157</v>
      </c>
      <c r="T123" s="2" t="s">
        <v>282</v>
      </c>
      <c r="U123" s="2">
        <v>6.0</v>
      </c>
    </row>
    <row r="124">
      <c r="A124" s="2" t="s">
        <v>733</v>
      </c>
      <c r="B124" s="2" t="s">
        <v>143</v>
      </c>
      <c r="C124" s="2" t="s">
        <v>734</v>
      </c>
      <c r="D124" s="2" t="s">
        <v>249</v>
      </c>
      <c r="E124" s="2" t="s">
        <v>735</v>
      </c>
      <c r="F124" s="2" t="s">
        <v>376</v>
      </c>
      <c r="G124" s="2" t="s">
        <v>191</v>
      </c>
      <c r="H124" s="2" t="s">
        <v>199</v>
      </c>
      <c r="I124" s="5">
        <v>46104.0</v>
      </c>
      <c r="J124" s="2" t="s">
        <v>78</v>
      </c>
      <c r="K124" s="5">
        <v>46170.0</v>
      </c>
      <c r="L124" s="2" t="s">
        <v>123</v>
      </c>
      <c r="M124" s="2" t="s">
        <v>49</v>
      </c>
      <c r="N124" s="2" t="s">
        <v>41</v>
      </c>
      <c r="O124" s="2" t="s">
        <v>248</v>
      </c>
      <c r="P124" s="2" t="s">
        <v>79</v>
      </c>
      <c r="Q124" s="5">
        <v>46039.0</v>
      </c>
      <c r="R124" s="2" t="s">
        <v>736</v>
      </c>
      <c r="S124" s="6">
        <v>46086.0</v>
      </c>
      <c r="T124" s="2" t="s">
        <v>337</v>
      </c>
      <c r="U124" s="2">
        <v>6.0</v>
      </c>
    </row>
    <row r="125">
      <c r="A125" s="2" t="s">
        <v>737</v>
      </c>
      <c r="B125" s="2" t="s">
        <v>134</v>
      </c>
      <c r="C125" s="2" t="s">
        <v>63</v>
      </c>
      <c r="F125" s="2" t="s">
        <v>324</v>
      </c>
      <c r="G125" s="2" t="s">
        <v>275</v>
      </c>
      <c r="H125" s="2" t="s">
        <v>42</v>
      </c>
      <c r="I125" s="2" t="s">
        <v>387</v>
      </c>
      <c r="J125" s="2" t="s">
        <v>310</v>
      </c>
      <c r="K125" s="2" t="s">
        <v>738</v>
      </c>
      <c r="L125" s="2" t="s">
        <v>68</v>
      </c>
      <c r="M125" s="2" t="s">
        <v>285</v>
      </c>
      <c r="N125" s="2" t="s">
        <v>608</v>
      </c>
      <c r="O125" s="2" t="s">
        <v>739</v>
      </c>
      <c r="P125" s="2">
        <v>0.0</v>
      </c>
      <c r="Q125" s="2" t="s">
        <v>740</v>
      </c>
      <c r="R125" s="6">
        <v>46121.0</v>
      </c>
      <c r="S125" s="6">
        <v>46060.0</v>
      </c>
      <c r="T125" s="2" t="s">
        <v>300</v>
      </c>
      <c r="U125" s="2" t="s">
        <v>164</v>
      </c>
    </row>
    <row r="126">
      <c r="A126" s="2" t="s">
        <v>741</v>
      </c>
      <c r="B126" s="2" t="s">
        <v>134</v>
      </c>
      <c r="C126" s="2" t="s">
        <v>179</v>
      </c>
      <c r="D126" s="2" t="s">
        <v>215</v>
      </c>
      <c r="E126" s="2" t="s">
        <v>742</v>
      </c>
      <c r="F126" s="2" t="s">
        <v>147</v>
      </c>
      <c r="G126" s="2" t="s">
        <v>365</v>
      </c>
      <c r="H126" s="6">
        <v>46030.0</v>
      </c>
      <c r="I126" s="2" t="s">
        <v>380</v>
      </c>
      <c r="J126" s="2" t="s">
        <v>305</v>
      </c>
      <c r="K126" s="5">
        <v>46148.0</v>
      </c>
      <c r="L126" s="2" t="s">
        <v>233</v>
      </c>
      <c r="M126" s="5">
        <v>46060.0</v>
      </c>
      <c r="N126" s="2" t="s">
        <v>743</v>
      </c>
      <c r="O126" s="2" t="s">
        <v>412</v>
      </c>
      <c r="P126" s="2" t="s">
        <v>240</v>
      </c>
      <c r="Q126" s="5">
        <v>46309.0</v>
      </c>
      <c r="R126" s="2" t="s">
        <v>744</v>
      </c>
      <c r="S126" s="5">
        <v>46104.0</v>
      </c>
      <c r="T126" s="2" t="s">
        <v>65</v>
      </c>
      <c r="U126" s="2" t="s">
        <v>124</v>
      </c>
    </row>
    <row r="127">
      <c r="A127" s="2" t="s">
        <v>745</v>
      </c>
      <c r="B127" s="2" t="s">
        <v>103</v>
      </c>
      <c r="C127" s="2" t="s">
        <v>746</v>
      </c>
      <c r="D127" s="2" t="s">
        <v>147</v>
      </c>
      <c r="E127" s="2" t="s">
        <v>747</v>
      </c>
      <c r="F127" s="2" t="s">
        <v>130</v>
      </c>
      <c r="G127" s="2" t="s">
        <v>92</v>
      </c>
      <c r="H127" s="2" t="s">
        <v>201</v>
      </c>
      <c r="I127" s="2" t="s">
        <v>123</v>
      </c>
      <c r="J127" s="2" t="s">
        <v>82</v>
      </c>
      <c r="K127" s="2" t="s">
        <v>748</v>
      </c>
      <c r="L127" s="2" t="s">
        <v>378</v>
      </c>
      <c r="M127" s="2" t="s">
        <v>191</v>
      </c>
      <c r="N127" s="2" t="s">
        <v>128</v>
      </c>
      <c r="O127" s="2" t="s">
        <v>231</v>
      </c>
      <c r="P127" s="2" t="s">
        <v>181</v>
      </c>
      <c r="Q127" s="5">
        <v>46078.0</v>
      </c>
      <c r="R127" s="2" t="s">
        <v>64</v>
      </c>
      <c r="S127" s="2" t="s">
        <v>213</v>
      </c>
      <c r="T127" s="2" t="s">
        <v>275</v>
      </c>
      <c r="U127" s="2">
        <v>5.0</v>
      </c>
    </row>
    <row r="128">
      <c r="A128" s="2" t="s">
        <v>749</v>
      </c>
      <c r="B128" s="2" t="s">
        <v>73</v>
      </c>
      <c r="C128" s="2" t="s">
        <v>750</v>
      </c>
      <c r="D128" s="2" t="s">
        <v>130</v>
      </c>
      <c r="E128" s="2" t="s">
        <v>751</v>
      </c>
      <c r="F128" s="2" t="s">
        <v>254</v>
      </c>
      <c r="G128" s="2" t="s">
        <v>224</v>
      </c>
      <c r="H128" s="2" t="s">
        <v>97</v>
      </c>
      <c r="I128" s="2" t="s">
        <v>114</v>
      </c>
      <c r="J128" s="2" t="s">
        <v>48</v>
      </c>
      <c r="K128" s="2" t="s">
        <v>752</v>
      </c>
      <c r="L128" s="2" t="s">
        <v>250</v>
      </c>
      <c r="M128" s="2" t="s">
        <v>233</v>
      </c>
      <c r="N128" s="2" t="s">
        <v>181</v>
      </c>
      <c r="O128" s="2">
        <v>0.0</v>
      </c>
      <c r="P128" s="2" t="s">
        <v>82</v>
      </c>
      <c r="Q128" s="5">
        <v>46046.0</v>
      </c>
      <c r="R128" s="2" t="s">
        <v>554</v>
      </c>
      <c r="S128" s="2" t="s">
        <v>438</v>
      </c>
      <c r="T128" s="5">
        <v>46048.0</v>
      </c>
      <c r="U128" s="2">
        <v>5.0</v>
      </c>
    </row>
    <row r="129">
      <c r="A129" s="2" t="s">
        <v>753</v>
      </c>
      <c r="B129" s="2" t="s">
        <v>73</v>
      </c>
      <c r="C129" s="2" t="s">
        <v>754</v>
      </c>
      <c r="D129" s="2" t="s">
        <v>51</v>
      </c>
      <c r="E129" s="2" t="s">
        <v>755</v>
      </c>
      <c r="F129" s="2" t="s">
        <v>465</v>
      </c>
      <c r="G129" s="2" t="s">
        <v>114</v>
      </c>
      <c r="H129" s="2" t="s">
        <v>178</v>
      </c>
      <c r="I129" s="2" t="s">
        <v>66</v>
      </c>
      <c r="J129" s="2" t="s">
        <v>41</v>
      </c>
      <c r="K129" s="5">
        <v>46038.0</v>
      </c>
      <c r="L129" s="2" t="s">
        <v>51</v>
      </c>
      <c r="M129" s="2" t="s">
        <v>92</v>
      </c>
      <c r="N129" s="2" t="s">
        <v>48</v>
      </c>
      <c r="O129" s="2" t="s">
        <v>48</v>
      </c>
      <c r="P129" s="2" t="s">
        <v>181</v>
      </c>
      <c r="Q129" s="2" t="s">
        <v>305</v>
      </c>
      <c r="R129" s="2" t="s">
        <v>756</v>
      </c>
      <c r="S129" s="2" t="s">
        <v>254</v>
      </c>
      <c r="T129" s="2" t="s">
        <v>119</v>
      </c>
      <c r="U129" s="2">
        <v>5.0</v>
      </c>
    </row>
    <row r="130">
      <c r="A130" s="2" t="s">
        <v>757</v>
      </c>
      <c r="B130" s="2" t="s">
        <v>58</v>
      </c>
      <c r="C130" s="2" t="s">
        <v>758</v>
      </c>
      <c r="D130" s="2" t="s">
        <v>107</v>
      </c>
      <c r="E130" s="2" t="s">
        <v>759</v>
      </c>
      <c r="K130" s="2" t="s">
        <v>760</v>
      </c>
      <c r="Q130" s="5">
        <v>46252.0</v>
      </c>
      <c r="R130" s="5">
        <v>46100.0</v>
      </c>
      <c r="S130" s="2" t="s">
        <v>761</v>
      </c>
      <c r="T130" s="2" t="s">
        <v>348</v>
      </c>
      <c r="U130" s="2">
        <v>4.0</v>
      </c>
    </row>
    <row r="131">
      <c r="A131" s="2" t="s">
        <v>762</v>
      </c>
      <c r="B131" s="2" t="s">
        <v>33</v>
      </c>
      <c r="C131" s="5">
        <v>46112.0</v>
      </c>
      <c r="D131" s="2" t="s">
        <v>44</v>
      </c>
      <c r="E131" s="2" t="s">
        <v>763</v>
      </c>
      <c r="F131" s="2" t="s">
        <v>138</v>
      </c>
      <c r="G131" s="2" t="s">
        <v>378</v>
      </c>
      <c r="H131" s="2" t="s">
        <v>91</v>
      </c>
      <c r="I131" s="5">
        <v>46150.0</v>
      </c>
      <c r="J131" s="2" t="s">
        <v>378</v>
      </c>
      <c r="K131" s="2" t="s">
        <v>764</v>
      </c>
      <c r="L131" s="2" t="s">
        <v>68</v>
      </c>
      <c r="M131" s="2" t="s">
        <v>49</v>
      </c>
      <c r="N131" s="2">
        <v>0.0</v>
      </c>
      <c r="O131" s="2" t="s">
        <v>99</v>
      </c>
      <c r="P131" s="2" t="s">
        <v>178</v>
      </c>
      <c r="Q131" s="2" t="s">
        <v>202</v>
      </c>
      <c r="R131" s="2" t="s">
        <v>765</v>
      </c>
      <c r="S131" s="2" t="s">
        <v>368</v>
      </c>
      <c r="T131" s="2" t="s">
        <v>766</v>
      </c>
      <c r="U131" s="2" t="s">
        <v>124</v>
      </c>
    </row>
    <row r="132">
      <c r="A132" s="2" t="s">
        <v>767</v>
      </c>
      <c r="B132" s="2" t="s">
        <v>134</v>
      </c>
      <c r="C132" s="2" t="s">
        <v>768</v>
      </c>
      <c r="D132" s="2" t="s">
        <v>465</v>
      </c>
      <c r="E132" s="2" t="s">
        <v>769</v>
      </c>
      <c r="F132" s="2" t="s">
        <v>81</v>
      </c>
      <c r="G132" s="2" t="s">
        <v>80</v>
      </c>
      <c r="H132" s="2" t="s">
        <v>41</v>
      </c>
      <c r="I132" s="2" t="s">
        <v>199</v>
      </c>
      <c r="J132" s="2" t="s">
        <v>48</v>
      </c>
      <c r="K132" s="2" t="s">
        <v>44</v>
      </c>
      <c r="L132" s="2" t="s">
        <v>97</v>
      </c>
      <c r="M132" s="2">
        <v>0.0</v>
      </c>
      <c r="N132" s="2" t="s">
        <v>80</v>
      </c>
      <c r="O132" s="2" t="s">
        <v>49</v>
      </c>
      <c r="P132" s="2" t="s">
        <v>82</v>
      </c>
      <c r="Q132" s="2" t="s">
        <v>293</v>
      </c>
      <c r="R132" s="2" t="s">
        <v>449</v>
      </c>
      <c r="S132" s="2" t="s">
        <v>36</v>
      </c>
      <c r="T132" s="5">
        <v>46081.0</v>
      </c>
      <c r="U132" s="2">
        <v>6.0</v>
      </c>
    </row>
    <row r="133">
      <c r="A133" s="2" t="s">
        <v>770</v>
      </c>
      <c r="B133" s="2" t="s">
        <v>103</v>
      </c>
      <c r="C133" s="5">
        <v>46089.0</v>
      </c>
      <c r="D133" s="2" t="s">
        <v>394</v>
      </c>
      <c r="E133" s="2" t="s">
        <v>771</v>
      </c>
      <c r="F133" s="2" t="s">
        <v>302</v>
      </c>
      <c r="G133" s="2" t="s">
        <v>378</v>
      </c>
      <c r="H133" s="2" t="s">
        <v>178</v>
      </c>
      <c r="I133" s="2" t="s">
        <v>772</v>
      </c>
      <c r="J133" s="2" t="s">
        <v>101</v>
      </c>
      <c r="K133" s="2" t="s">
        <v>558</v>
      </c>
      <c r="L133" s="2" t="s">
        <v>154</v>
      </c>
      <c r="M133" s="2" t="s">
        <v>248</v>
      </c>
      <c r="N133" s="2" t="s">
        <v>262</v>
      </c>
      <c r="O133" s="2" t="s">
        <v>77</v>
      </c>
      <c r="P133" s="2" t="s">
        <v>48</v>
      </c>
      <c r="Q133" s="2" t="s">
        <v>222</v>
      </c>
      <c r="R133" s="2" t="s">
        <v>91</v>
      </c>
      <c r="S133" s="2" t="s">
        <v>99</v>
      </c>
      <c r="T133" s="2" t="s">
        <v>540</v>
      </c>
      <c r="U133" s="2" t="s">
        <v>124</v>
      </c>
    </row>
    <row r="134">
      <c r="A134" s="2" t="s">
        <v>773</v>
      </c>
      <c r="B134" s="2" t="s">
        <v>134</v>
      </c>
      <c r="C134" s="5">
        <v>46220.0</v>
      </c>
      <c r="D134" s="2" t="s">
        <v>51</v>
      </c>
      <c r="E134" s="2" t="s">
        <v>774</v>
      </c>
      <c r="F134" s="2" t="s">
        <v>38</v>
      </c>
      <c r="G134" s="2" t="s">
        <v>181</v>
      </c>
      <c r="H134" s="2" t="s">
        <v>302</v>
      </c>
      <c r="I134" s="2" t="s">
        <v>293</v>
      </c>
      <c r="J134" s="2" t="s">
        <v>59</v>
      </c>
      <c r="K134" s="2" t="s">
        <v>266</v>
      </c>
      <c r="L134" s="2" t="s">
        <v>302</v>
      </c>
      <c r="M134" s="2" t="s">
        <v>49</v>
      </c>
      <c r="N134" s="2" t="s">
        <v>584</v>
      </c>
      <c r="O134" s="2" t="s">
        <v>59</v>
      </c>
      <c r="P134" s="2" t="s">
        <v>240</v>
      </c>
      <c r="Q134" s="2" t="s">
        <v>390</v>
      </c>
      <c r="R134" s="6">
        <v>46054.0</v>
      </c>
      <c r="S134" s="5">
        <v>46023.0</v>
      </c>
      <c r="T134" s="2" t="s">
        <v>231</v>
      </c>
      <c r="U134" s="2" t="s">
        <v>124</v>
      </c>
    </row>
    <row r="135">
      <c r="A135" s="2" t="s">
        <v>775</v>
      </c>
      <c r="B135" s="2" t="s">
        <v>103</v>
      </c>
      <c r="C135" s="2" t="s">
        <v>776</v>
      </c>
      <c r="D135" s="2" t="s">
        <v>254</v>
      </c>
      <c r="E135" s="2" t="s">
        <v>777</v>
      </c>
      <c r="F135" s="5">
        <v>46033.0</v>
      </c>
      <c r="G135" s="5">
        <v>46023.0</v>
      </c>
      <c r="H135" s="2" t="s">
        <v>111</v>
      </c>
      <c r="I135" s="2" t="s">
        <v>177</v>
      </c>
      <c r="J135" s="2" t="s">
        <v>80</v>
      </c>
      <c r="K135" s="5">
        <v>46128.0</v>
      </c>
      <c r="L135" s="2" t="s">
        <v>778</v>
      </c>
      <c r="M135" s="5">
        <v>46081.0</v>
      </c>
      <c r="N135" s="2" t="s">
        <v>779</v>
      </c>
      <c r="O135" s="2" t="s">
        <v>181</v>
      </c>
      <c r="P135" s="2" t="s">
        <v>154</v>
      </c>
      <c r="Q135" s="2" t="s">
        <v>780</v>
      </c>
      <c r="R135" s="2" t="s">
        <v>781</v>
      </c>
      <c r="S135" s="5">
        <v>46057.0</v>
      </c>
      <c r="T135" s="2" t="s">
        <v>378</v>
      </c>
      <c r="U135" s="2" t="s">
        <v>124</v>
      </c>
    </row>
    <row r="136">
      <c r="A136" s="2" t="s">
        <v>782</v>
      </c>
      <c r="B136" s="2" t="s">
        <v>103</v>
      </c>
      <c r="C136" s="2" t="s">
        <v>783</v>
      </c>
      <c r="D136" s="2" t="s">
        <v>59</v>
      </c>
      <c r="E136" s="2" t="s">
        <v>784</v>
      </c>
      <c r="F136" s="2" t="s">
        <v>51</v>
      </c>
      <c r="G136" s="2" t="s">
        <v>233</v>
      </c>
      <c r="H136" s="2" t="s">
        <v>178</v>
      </c>
      <c r="I136" s="2" t="s">
        <v>254</v>
      </c>
      <c r="J136" s="2" t="s">
        <v>90</v>
      </c>
      <c r="K136" s="5">
        <v>46081.0</v>
      </c>
      <c r="L136" s="2" t="s">
        <v>302</v>
      </c>
      <c r="M136" s="2" t="s">
        <v>233</v>
      </c>
      <c r="N136" s="2" t="s">
        <v>785</v>
      </c>
      <c r="O136" s="2" t="s">
        <v>40</v>
      </c>
      <c r="P136" s="2" t="s">
        <v>68</v>
      </c>
      <c r="Q136" s="2" t="s">
        <v>436</v>
      </c>
      <c r="R136" s="2" t="s">
        <v>252</v>
      </c>
      <c r="S136" s="2" t="s">
        <v>187</v>
      </c>
      <c r="T136" s="2" t="s">
        <v>138</v>
      </c>
      <c r="U136" s="2">
        <v>6.0</v>
      </c>
    </row>
    <row r="137">
      <c r="A137" s="2" t="s">
        <v>786</v>
      </c>
      <c r="B137" s="2" t="s">
        <v>134</v>
      </c>
      <c r="C137" s="2" t="s">
        <v>787</v>
      </c>
      <c r="D137" s="2" t="s">
        <v>118</v>
      </c>
      <c r="E137" s="2" t="s">
        <v>788</v>
      </c>
      <c r="F137" s="2" t="s">
        <v>302</v>
      </c>
      <c r="G137" s="2" t="s">
        <v>82</v>
      </c>
      <c r="H137" s="2" t="s">
        <v>93</v>
      </c>
      <c r="I137" s="2" t="s">
        <v>130</v>
      </c>
      <c r="J137" s="2" t="s">
        <v>365</v>
      </c>
      <c r="K137" s="5">
        <v>46023.0</v>
      </c>
      <c r="L137" s="2" t="s">
        <v>310</v>
      </c>
      <c r="M137" s="2" t="s">
        <v>48</v>
      </c>
      <c r="N137" s="2" t="s">
        <v>93</v>
      </c>
      <c r="O137" s="2" t="s">
        <v>68</v>
      </c>
      <c r="P137" s="2" t="s">
        <v>181</v>
      </c>
      <c r="Q137" s="2" t="s">
        <v>100</v>
      </c>
      <c r="R137" s="2" t="s">
        <v>789</v>
      </c>
      <c r="S137" s="2" t="s">
        <v>96</v>
      </c>
      <c r="T137" s="6">
        <v>46056.0</v>
      </c>
      <c r="U137" s="2">
        <v>5.0</v>
      </c>
    </row>
    <row r="138">
      <c r="A138" s="2" t="s">
        <v>790</v>
      </c>
      <c r="B138" s="2" t="s">
        <v>143</v>
      </c>
      <c r="C138" s="2" t="s">
        <v>791</v>
      </c>
      <c r="D138" s="2" t="s">
        <v>344</v>
      </c>
      <c r="E138" s="2" t="s">
        <v>792</v>
      </c>
      <c r="F138" s="2" t="s">
        <v>344</v>
      </c>
      <c r="G138" s="2" t="s">
        <v>49</v>
      </c>
      <c r="H138" s="2" t="s">
        <v>61</v>
      </c>
      <c r="I138" s="2" t="s">
        <v>116</v>
      </c>
      <c r="J138" s="2" t="s">
        <v>181</v>
      </c>
      <c r="K138" s="2" t="s">
        <v>793</v>
      </c>
      <c r="L138" s="6">
        <v>46027.0</v>
      </c>
      <c r="M138" s="2" t="s">
        <v>68</v>
      </c>
      <c r="N138" s="2" t="s">
        <v>394</v>
      </c>
      <c r="O138" s="2" t="s">
        <v>149</v>
      </c>
      <c r="P138" s="2" t="s">
        <v>93</v>
      </c>
      <c r="Q138" s="6">
        <v>46061.0</v>
      </c>
      <c r="R138" s="2" t="s">
        <v>794</v>
      </c>
      <c r="S138" s="2" t="s">
        <v>216</v>
      </c>
      <c r="T138" s="5">
        <v>46067.0</v>
      </c>
      <c r="U138" s="2">
        <v>6.0</v>
      </c>
    </row>
    <row r="139">
      <c r="A139" s="2" t="s">
        <v>795</v>
      </c>
      <c r="B139" s="2" t="s">
        <v>143</v>
      </c>
      <c r="C139" s="5">
        <v>46301.0</v>
      </c>
      <c r="D139" s="2" t="s">
        <v>111</v>
      </c>
      <c r="E139" s="2" t="s">
        <v>796</v>
      </c>
      <c r="F139" s="6">
        <v>46025.0</v>
      </c>
      <c r="G139" s="2" t="s">
        <v>63</v>
      </c>
      <c r="H139" s="2" t="s">
        <v>93</v>
      </c>
      <c r="I139" s="5">
        <v>46068.0</v>
      </c>
      <c r="J139" s="2" t="s">
        <v>285</v>
      </c>
      <c r="K139" s="2" t="s">
        <v>797</v>
      </c>
      <c r="L139" s="2" t="s">
        <v>300</v>
      </c>
      <c r="M139" s="2" t="s">
        <v>69</v>
      </c>
      <c r="N139" s="2" t="s">
        <v>170</v>
      </c>
      <c r="O139" s="2" t="s">
        <v>68</v>
      </c>
      <c r="P139" s="2" t="s">
        <v>181</v>
      </c>
      <c r="Q139" s="2" t="s">
        <v>528</v>
      </c>
      <c r="R139" s="2" t="s">
        <v>798</v>
      </c>
      <c r="S139" s="5">
        <v>46077.0</v>
      </c>
      <c r="T139" s="2" t="s">
        <v>216</v>
      </c>
      <c r="U139" s="2">
        <v>5.0</v>
      </c>
    </row>
    <row r="140">
      <c r="A140" s="2" t="s">
        <v>799</v>
      </c>
      <c r="B140" s="2" t="s">
        <v>33</v>
      </c>
      <c r="C140" s="6">
        <v>46058.0</v>
      </c>
      <c r="D140" s="2" t="s">
        <v>170</v>
      </c>
      <c r="E140" s="2" t="s">
        <v>800</v>
      </c>
      <c r="F140" s="2" t="s">
        <v>138</v>
      </c>
      <c r="G140" s="2" t="s">
        <v>81</v>
      </c>
      <c r="H140" s="2" t="s">
        <v>91</v>
      </c>
      <c r="I140" s="2" t="s">
        <v>801</v>
      </c>
      <c r="J140" s="2" t="s">
        <v>178</v>
      </c>
      <c r="K140" s="5">
        <v>46303.0</v>
      </c>
      <c r="L140" s="2" t="s">
        <v>80</v>
      </c>
      <c r="M140" s="2">
        <v>0.0</v>
      </c>
      <c r="N140" s="2">
        <v>0.0</v>
      </c>
      <c r="O140" s="5">
        <v>46039.0</v>
      </c>
      <c r="P140" s="2" t="s">
        <v>69</v>
      </c>
      <c r="Q140" s="5">
        <v>46046.0</v>
      </c>
      <c r="R140" s="2" t="s">
        <v>802</v>
      </c>
      <c r="S140" s="5">
        <v>46197.0</v>
      </c>
      <c r="T140" s="2" t="s">
        <v>803</v>
      </c>
      <c r="U140" s="2" t="s">
        <v>164</v>
      </c>
    </row>
    <row r="141">
      <c r="A141" s="2" t="s">
        <v>804</v>
      </c>
      <c r="B141" s="2" t="s">
        <v>73</v>
      </c>
      <c r="C141" s="2" t="s">
        <v>412</v>
      </c>
      <c r="F141" s="2" t="s">
        <v>154</v>
      </c>
      <c r="G141" s="2" t="s">
        <v>80</v>
      </c>
      <c r="H141" s="2" t="s">
        <v>91</v>
      </c>
      <c r="I141" s="5">
        <v>46108.0</v>
      </c>
      <c r="J141" s="2" t="s">
        <v>93</v>
      </c>
      <c r="K141" s="2" t="s">
        <v>805</v>
      </c>
      <c r="L141" s="2" t="s">
        <v>154</v>
      </c>
      <c r="M141" s="2" t="s">
        <v>80</v>
      </c>
      <c r="N141" s="2" t="s">
        <v>49</v>
      </c>
      <c r="O141" s="2">
        <v>0.0</v>
      </c>
      <c r="P141" s="2">
        <v>0.0</v>
      </c>
      <c r="Q141" s="2" t="s">
        <v>42</v>
      </c>
      <c r="R141" s="2" t="s">
        <v>806</v>
      </c>
      <c r="S141" s="5">
        <v>46064.0</v>
      </c>
      <c r="T141" s="2" t="s">
        <v>807</v>
      </c>
      <c r="U141" s="2">
        <v>5.0</v>
      </c>
    </row>
    <row r="142">
      <c r="A142" s="2" t="s">
        <v>808</v>
      </c>
      <c r="B142" s="2" t="s">
        <v>143</v>
      </c>
      <c r="C142" s="2" t="s">
        <v>809</v>
      </c>
      <c r="D142" s="2" t="s">
        <v>44</v>
      </c>
      <c r="E142" s="2" t="s">
        <v>810</v>
      </c>
      <c r="F142" s="2" t="s">
        <v>186</v>
      </c>
      <c r="G142" s="2" t="s">
        <v>181</v>
      </c>
      <c r="H142" s="2" t="s">
        <v>90</v>
      </c>
      <c r="I142" s="2" t="s">
        <v>317</v>
      </c>
      <c r="J142" s="2" t="s">
        <v>82</v>
      </c>
      <c r="K142" s="2" t="s">
        <v>184</v>
      </c>
      <c r="L142" s="2" t="s">
        <v>64</v>
      </c>
      <c r="M142" s="2" t="s">
        <v>149</v>
      </c>
      <c r="N142" s="5">
        <v>46036.0</v>
      </c>
      <c r="O142" s="2" t="s">
        <v>41</v>
      </c>
      <c r="P142" s="2" t="s">
        <v>92</v>
      </c>
      <c r="Q142" s="2" t="s">
        <v>355</v>
      </c>
      <c r="R142" s="2" t="s">
        <v>811</v>
      </c>
      <c r="S142" s="2" t="s">
        <v>752</v>
      </c>
      <c r="T142" s="5">
        <v>46039.0</v>
      </c>
      <c r="U142" s="2">
        <v>5.0</v>
      </c>
    </row>
    <row r="143">
      <c r="A143" s="2" t="s">
        <v>812</v>
      </c>
      <c r="B143" s="2" t="s">
        <v>58</v>
      </c>
      <c r="C143" s="2" t="s">
        <v>813</v>
      </c>
      <c r="D143" s="2" t="s">
        <v>44</v>
      </c>
      <c r="E143" s="2" t="s">
        <v>814</v>
      </c>
      <c r="F143" s="2" t="s">
        <v>394</v>
      </c>
      <c r="G143" s="2" t="s">
        <v>91</v>
      </c>
      <c r="H143" s="2" t="s">
        <v>254</v>
      </c>
      <c r="I143" s="2" t="s">
        <v>815</v>
      </c>
      <c r="J143" s="2" t="s">
        <v>178</v>
      </c>
      <c r="K143" s="2" t="s">
        <v>611</v>
      </c>
      <c r="L143" s="2" t="s">
        <v>170</v>
      </c>
      <c r="M143" s="2" t="s">
        <v>130</v>
      </c>
      <c r="N143" s="2" t="s">
        <v>247</v>
      </c>
      <c r="O143" s="5">
        <v>46041.0</v>
      </c>
      <c r="P143" s="2" t="s">
        <v>82</v>
      </c>
      <c r="Q143" s="2" t="s">
        <v>816</v>
      </c>
      <c r="R143" s="5">
        <v>46023.0</v>
      </c>
      <c r="S143" s="5">
        <v>46110.0</v>
      </c>
      <c r="T143" s="2" t="s">
        <v>344</v>
      </c>
      <c r="U143" s="2">
        <v>6.0</v>
      </c>
    </row>
    <row r="144">
      <c r="A144" s="2" t="s">
        <v>817</v>
      </c>
      <c r="B144" s="2" t="s">
        <v>73</v>
      </c>
      <c r="C144" s="2" t="s">
        <v>818</v>
      </c>
      <c r="D144" s="2" t="s">
        <v>224</v>
      </c>
      <c r="E144" s="2" t="s">
        <v>819</v>
      </c>
      <c r="F144" s="2" t="s">
        <v>248</v>
      </c>
      <c r="G144" s="2" t="s">
        <v>181</v>
      </c>
      <c r="H144" s="2" t="s">
        <v>63</v>
      </c>
      <c r="I144" s="2" t="s">
        <v>68</v>
      </c>
      <c r="J144" s="2" t="s">
        <v>80</v>
      </c>
      <c r="K144" s="2" t="s">
        <v>64</v>
      </c>
      <c r="L144" s="2" t="s">
        <v>201</v>
      </c>
      <c r="M144" s="2" t="s">
        <v>181</v>
      </c>
      <c r="N144" s="2" t="s">
        <v>80</v>
      </c>
      <c r="O144" s="2" t="s">
        <v>80</v>
      </c>
      <c r="P144" s="2" t="s">
        <v>181</v>
      </c>
      <c r="Q144" s="2" t="s">
        <v>100</v>
      </c>
      <c r="R144" s="2" t="s">
        <v>554</v>
      </c>
      <c r="S144" s="2" t="s">
        <v>51</v>
      </c>
      <c r="T144" s="5">
        <v>46028.0</v>
      </c>
      <c r="U144" s="2">
        <v>5.0</v>
      </c>
    </row>
    <row r="145">
      <c r="A145" s="2" t="s">
        <v>820</v>
      </c>
      <c r="B145" s="2" t="s">
        <v>103</v>
      </c>
      <c r="C145" s="2" t="s">
        <v>181</v>
      </c>
      <c r="D145" s="2" t="s">
        <v>128</v>
      </c>
      <c r="E145" s="2" t="s">
        <v>821</v>
      </c>
      <c r="F145" s="2" t="s">
        <v>233</v>
      </c>
      <c r="G145" s="2" t="s">
        <v>42</v>
      </c>
      <c r="H145" s="2" t="s">
        <v>93</v>
      </c>
      <c r="I145" s="2" t="s">
        <v>822</v>
      </c>
      <c r="J145" s="2" t="s">
        <v>236</v>
      </c>
      <c r="K145" s="2" t="s">
        <v>823</v>
      </c>
      <c r="L145" s="2" t="s">
        <v>69</v>
      </c>
      <c r="M145" s="2" t="s">
        <v>80</v>
      </c>
      <c r="N145" s="2" t="s">
        <v>79</v>
      </c>
      <c r="O145" s="2" t="s">
        <v>199</v>
      </c>
      <c r="P145" s="2">
        <v>0.0</v>
      </c>
      <c r="Q145" s="2" t="s">
        <v>275</v>
      </c>
      <c r="R145" s="2" t="s">
        <v>824</v>
      </c>
      <c r="S145" s="2" t="s">
        <v>825</v>
      </c>
      <c r="T145" s="2" t="s">
        <v>826</v>
      </c>
      <c r="U145" s="2" t="s">
        <v>164</v>
      </c>
    </row>
    <row r="146">
      <c r="A146" s="2" t="s">
        <v>827</v>
      </c>
      <c r="B146" s="2" t="s">
        <v>103</v>
      </c>
      <c r="C146" s="2" t="s">
        <v>42</v>
      </c>
      <c r="D146" s="2" t="s">
        <v>59</v>
      </c>
      <c r="E146" s="2" t="s">
        <v>828</v>
      </c>
      <c r="F146" s="2" t="s">
        <v>199</v>
      </c>
      <c r="G146" s="2" t="s">
        <v>114</v>
      </c>
      <c r="H146" s="2" t="s">
        <v>79</v>
      </c>
      <c r="I146" s="2" t="s">
        <v>752</v>
      </c>
      <c r="J146" s="2" t="s">
        <v>365</v>
      </c>
      <c r="K146" s="2" t="s">
        <v>829</v>
      </c>
      <c r="L146" s="2" t="s">
        <v>114</v>
      </c>
      <c r="M146" s="2">
        <v>0.0</v>
      </c>
      <c r="N146" s="2" t="s">
        <v>114</v>
      </c>
      <c r="O146" s="2" t="s">
        <v>154</v>
      </c>
      <c r="P146" s="2">
        <v>0.0</v>
      </c>
      <c r="Q146" s="2" t="s">
        <v>130</v>
      </c>
      <c r="R146" s="2" t="s">
        <v>830</v>
      </c>
      <c r="S146" s="2" t="s">
        <v>234</v>
      </c>
      <c r="T146" s="5">
        <v>46215.0</v>
      </c>
      <c r="U146" s="2" t="s">
        <v>124</v>
      </c>
    </row>
    <row r="147">
      <c r="A147" s="2" t="s">
        <v>831</v>
      </c>
      <c r="B147" s="2" t="s">
        <v>103</v>
      </c>
      <c r="C147" s="2" t="s">
        <v>149</v>
      </c>
      <c r="D147" s="2" t="s">
        <v>186</v>
      </c>
      <c r="E147" s="2" t="s">
        <v>832</v>
      </c>
      <c r="K147" s="5">
        <v>46092.0</v>
      </c>
      <c r="Q147" s="5">
        <v>46048.0</v>
      </c>
      <c r="R147" s="2" t="s">
        <v>833</v>
      </c>
      <c r="S147" s="2" t="s">
        <v>489</v>
      </c>
      <c r="T147" s="2" t="s">
        <v>834</v>
      </c>
      <c r="U147" s="2">
        <v>2.0</v>
      </c>
    </row>
    <row r="148">
      <c r="A148" s="2" t="s">
        <v>835</v>
      </c>
      <c r="B148" s="2" t="s">
        <v>134</v>
      </c>
      <c r="C148" s="2" t="s">
        <v>178</v>
      </c>
      <c r="D148" s="2" t="s">
        <v>305</v>
      </c>
      <c r="E148" s="2" t="s">
        <v>836</v>
      </c>
      <c r="F148" s="2" t="s">
        <v>177</v>
      </c>
      <c r="G148" s="2" t="s">
        <v>78</v>
      </c>
      <c r="H148" s="2" t="s">
        <v>81</v>
      </c>
      <c r="I148" s="2" t="s">
        <v>466</v>
      </c>
      <c r="J148" s="2" t="s">
        <v>201</v>
      </c>
      <c r="K148" s="2" t="s">
        <v>581</v>
      </c>
      <c r="L148" s="2" t="s">
        <v>267</v>
      </c>
      <c r="M148" s="2" t="s">
        <v>80</v>
      </c>
      <c r="N148" s="5">
        <v>46039.0</v>
      </c>
      <c r="O148" s="2" t="s">
        <v>69</v>
      </c>
      <c r="P148" s="2">
        <v>0.0</v>
      </c>
      <c r="Q148" s="2" t="s">
        <v>600</v>
      </c>
      <c r="R148" s="2" t="s">
        <v>837</v>
      </c>
      <c r="S148" s="5">
        <v>46028.0</v>
      </c>
      <c r="T148" s="2" t="s">
        <v>772</v>
      </c>
      <c r="U148" s="2" t="s">
        <v>124</v>
      </c>
    </row>
    <row r="149">
      <c r="A149" s="2" t="s">
        <v>838</v>
      </c>
      <c r="B149" s="2" t="s">
        <v>73</v>
      </c>
      <c r="C149" s="2" t="s">
        <v>178</v>
      </c>
      <c r="D149" s="2" t="s">
        <v>65</v>
      </c>
      <c r="E149" s="2" t="s">
        <v>839</v>
      </c>
      <c r="F149" s="2" t="s">
        <v>302</v>
      </c>
      <c r="G149" s="2" t="s">
        <v>48</v>
      </c>
      <c r="H149" s="2" t="s">
        <v>81</v>
      </c>
      <c r="I149" s="2" t="s">
        <v>101</v>
      </c>
      <c r="J149" s="2" t="s">
        <v>300</v>
      </c>
      <c r="K149" s="2" t="s">
        <v>419</v>
      </c>
      <c r="L149" s="2" t="s">
        <v>63</v>
      </c>
      <c r="M149" s="2">
        <v>0.0</v>
      </c>
      <c r="N149" s="2" t="s">
        <v>62</v>
      </c>
      <c r="O149" s="2" t="s">
        <v>378</v>
      </c>
      <c r="P149" s="2">
        <v>0.0</v>
      </c>
      <c r="Q149" s="2" t="s">
        <v>64</v>
      </c>
      <c r="R149" s="2" t="s">
        <v>622</v>
      </c>
      <c r="S149" s="2" t="s">
        <v>412</v>
      </c>
      <c r="T149" s="5">
        <v>46029.0</v>
      </c>
      <c r="U149" s="2" t="s">
        <v>124</v>
      </c>
    </row>
    <row r="150">
      <c r="A150" s="2" t="s">
        <v>840</v>
      </c>
      <c r="B150" s="2" t="s">
        <v>33</v>
      </c>
      <c r="C150" s="2" t="s">
        <v>841</v>
      </c>
      <c r="D150" s="2" t="s">
        <v>111</v>
      </c>
      <c r="E150" s="2" t="s">
        <v>842</v>
      </c>
      <c r="F150" s="2" t="s">
        <v>128</v>
      </c>
      <c r="G150" s="2" t="s">
        <v>81</v>
      </c>
      <c r="H150" s="2" t="s">
        <v>81</v>
      </c>
      <c r="I150" s="5">
        <v>46133.0</v>
      </c>
      <c r="J150" s="2" t="s">
        <v>41</v>
      </c>
      <c r="K150" s="2" t="s">
        <v>843</v>
      </c>
      <c r="L150" s="2" t="s">
        <v>93</v>
      </c>
      <c r="M150" s="2" t="s">
        <v>92</v>
      </c>
      <c r="N150" s="2" t="s">
        <v>68</v>
      </c>
      <c r="O150" s="2" t="s">
        <v>42</v>
      </c>
      <c r="P150" s="2" t="s">
        <v>49</v>
      </c>
      <c r="Q150" s="2" t="s">
        <v>51</v>
      </c>
      <c r="R150" s="2" t="s">
        <v>844</v>
      </c>
      <c r="S150" s="5">
        <v>46105.0</v>
      </c>
      <c r="T150" s="5">
        <v>46354.0</v>
      </c>
      <c r="U150" s="2" t="s">
        <v>164</v>
      </c>
    </row>
    <row r="151">
      <c r="A151" s="2" t="s">
        <v>845</v>
      </c>
      <c r="B151" s="2" t="s">
        <v>73</v>
      </c>
      <c r="C151" s="2" t="s">
        <v>846</v>
      </c>
      <c r="D151" s="2" t="s">
        <v>36</v>
      </c>
      <c r="E151" s="2" t="s">
        <v>847</v>
      </c>
      <c r="F151" s="2" t="s">
        <v>130</v>
      </c>
      <c r="G151" s="2" t="s">
        <v>66</v>
      </c>
      <c r="H151" s="2" t="s">
        <v>66</v>
      </c>
      <c r="I151" s="2" t="s">
        <v>38</v>
      </c>
      <c r="J151" s="2" t="s">
        <v>92</v>
      </c>
      <c r="K151" s="5">
        <v>46043.0</v>
      </c>
      <c r="L151" s="2" t="s">
        <v>66</v>
      </c>
      <c r="M151" s="2" t="s">
        <v>79</v>
      </c>
      <c r="N151" s="2" t="s">
        <v>36</v>
      </c>
      <c r="O151" s="2" t="s">
        <v>79</v>
      </c>
      <c r="P151" s="2" t="s">
        <v>48</v>
      </c>
      <c r="Q151" s="6">
        <v>46027.0</v>
      </c>
      <c r="R151" s="2" t="s">
        <v>848</v>
      </c>
      <c r="S151" s="2" t="s">
        <v>305</v>
      </c>
      <c r="T151" s="5">
        <v>46038.0</v>
      </c>
      <c r="U151" s="2">
        <v>5.0</v>
      </c>
    </row>
    <row r="152">
      <c r="A152" s="2" t="s">
        <v>849</v>
      </c>
      <c r="B152" s="2" t="s">
        <v>58</v>
      </c>
      <c r="C152" s="2" t="s">
        <v>183</v>
      </c>
      <c r="D152" s="2" t="s">
        <v>376</v>
      </c>
      <c r="E152" s="2" t="s">
        <v>850</v>
      </c>
      <c r="F152" s="2" t="s">
        <v>231</v>
      </c>
      <c r="G152" s="2" t="s">
        <v>48</v>
      </c>
      <c r="H152" s="2" t="s">
        <v>36</v>
      </c>
      <c r="I152" s="2" t="s">
        <v>468</v>
      </c>
      <c r="J152" s="2" t="s">
        <v>48</v>
      </c>
      <c r="K152" s="5">
        <v>46060.0</v>
      </c>
      <c r="L152" s="2" t="s">
        <v>59</v>
      </c>
      <c r="M152" s="2" t="s">
        <v>48</v>
      </c>
      <c r="N152" s="2" t="s">
        <v>36</v>
      </c>
      <c r="O152" s="2">
        <v>0.0</v>
      </c>
      <c r="P152" s="2" t="s">
        <v>49</v>
      </c>
      <c r="Q152" s="5">
        <v>46047.0</v>
      </c>
      <c r="R152" s="2" t="s">
        <v>851</v>
      </c>
      <c r="S152" s="2" t="s">
        <v>752</v>
      </c>
      <c r="T152" s="5">
        <v>46068.0</v>
      </c>
      <c r="U152" s="2">
        <v>5.0</v>
      </c>
    </row>
    <row r="153">
      <c r="A153" s="2" t="s">
        <v>852</v>
      </c>
      <c r="B153" s="2" t="s">
        <v>73</v>
      </c>
      <c r="C153" s="2" t="s">
        <v>853</v>
      </c>
      <c r="D153" s="2" t="s">
        <v>378</v>
      </c>
      <c r="E153" s="2" t="s">
        <v>854</v>
      </c>
      <c r="F153" s="2" t="s">
        <v>300</v>
      </c>
      <c r="G153" s="2" t="s">
        <v>149</v>
      </c>
      <c r="H153" s="2" t="s">
        <v>199</v>
      </c>
      <c r="I153" s="2" t="s">
        <v>68</v>
      </c>
      <c r="J153" s="2" t="s">
        <v>91</v>
      </c>
      <c r="K153" s="5">
        <v>46046.0</v>
      </c>
      <c r="L153" s="2" t="s">
        <v>201</v>
      </c>
      <c r="M153" s="2" t="s">
        <v>293</v>
      </c>
      <c r="N153" s="2" t="s">
        <v>178</v>
      </c>
      <c r="O153" s="2" t="s">
        <v>62</v>
      </c>
      <c r="P153" s="2" t="s">
        <v>181</v>
      </c>
      <c r="Q153" s="5">
        <v>46046.0</v>
      </c>
      <c r="R153" s="2">
        <v>0.0</v>
      </c>
      <c r="S153" s="2" t="s">
        <v>163</v>
      </c>
      <c r="T153" s="2">
        <v>1.0</v>
      </c>
      <c r="U153" s="2">
        <v>6.0</v>
      </c>
    </row>
    <row r="154">
      <c r="A154" s="2" t="s">
        <v>855</v>
      </c>
      <c r="B154" s="2" t="s">
        <v>134</v>
      </c>
      <c r="C154" s="5">
        <v>46145.0</v>
      </c>
      <c r="D154" s="2" t="s">
        <v>215</v>
      </c>
      <c r="E154" s="2" t="s">
        <v>856</v>
      </c>
      <c r="F154" s="2" t="s">
        <v>254</v>
      </c>
      <c r="G154" s="2" t="s">
        <v>45</v>
      </c>
      <c r="H154" s="2" t="s">
        <v>215</v>
      </c>
      <c r="I154" s="2" t="s">
        <v>857</v>
      </c>
      <c r="J154" s="2" t="s">
        <v>62</v>
      </c>
      <c r="K154" s="2" t="s">
        <v>858</v>
      </c>
      <c r="L154" s="2">
        <v>0.0</v>
      </c>
      <c r="M154" s="2">
        <v>0.0</v>
      </c>
      <c r="N154" s="2">
        <v>0.0</v>
      </c>
      <c r="O154" s="2" t="s">
        <v>80</v>
      </c>
      <c r="P154" s="2" t="s">
        <v>82</v>
      </c>
      <c r="Q154" s="2" t="s">
        <v>181</v>
      </c>
      <c r="R154" s="2" t="s">
        <v>859</v>
      </c>
      <c r="S154" s="2" t="s">
        <v>582</v>
      </c>
      <c r="T154" s="2" t="s">
        <v>860</v>
      </c>
      <c r="U154" s="2">
        <v>5.0</v>
      </c>
    </row>
    <row r="155">
      <c r="A155" s="2" t="s">
        <v>861</v>
      </c>
      <c r="B155" s="2" t="s">
        <v>143</v>
      </c>
      <c r="C155" s="2" t="s">
        <v>862</v>
      </c>
      <c r="D155" s="2" t="s">
        <v>344</v>
      </c>
      <c r="E155" s="2" t="s">
        <v>863</v>
      </c>
      <c r="F155" s="2" t="s">
        <v>285</v>
      </c>
      <c r="G155" s="2" t="s">
        <v>41</v>
      </c>
      <c r="H155" s="2" t="s">
        <v>186</v>
      </c>
      <c r="I155" s="2" t="s">
        <v>785</v>
      </c>
      <c r="J155" s="2" t="s">
        <v>82</v>
      </c>
      <c r="K155" s="6">
        <v>46118.0</v>
      </c>
      <c r="L155" s="2" t="s">
        <v>163</v>
      </c>
      <c r="M155" s="2" t="s">
        <v>69</v>
      </c>
      <c r="N155" s="2" t="s">
        <v>864</v>
      </c>
      <c r="O155" s="2">
        <v>0.0</v>
      </c>
      <c r="P155" s="2" t="s">
        <v>93</v>
      </c>
      <c r="Q155" s="2" t="s">
        <v>184</v>
      </c>
      <c r="R155" s="2" t="s">
        <v>135</v>
      </c>
      <c r="S155" s="2" t="s">
        <v>713</v>
      </c>
      <c r="T155" s="5">
        <v>46027.0</v>
      </c>
      <c r="U155" s="2">
        <v>5.0</v>
      </c>
    </row>
    <row r="156">
      <c r="A156" s="2" t="s">
        <v>865</v>
      </c>
      <c r="B156" s="2" t="s">
        <v>143</v>
      </c>
      <c r="C156" s="6">
        <v>46060.0</v>
      </c>
      <c r="D156" s="2" t="s">
        <v>159</v>
      </c>
      <c r="E156" s="2" t="s">
        <v>866</v>
      </c>
      <c r="F156" s="2" t="s">
        <v>96</v>
      </c>
      <c r="G156" s="2" t="s">
        <v>79</v>
      </c>
      <c r="H156" s="2" t="s">
        <v>250</v>
      </c>
      <c r="I156" s="5">
        <v>46139.0</v>
      </c>
      <c r="J156" s="2" t="s">
        <v>181</v>
      </c>
      <c r="K156" s="2" t="s">
        <v>152</v>
      </c>
      <c r="L156" s="2" t="s">
        <v>101</v>
      </c>
      <c r="M156" s="2" t="s">
        <v>68</v>
      </c>
      <c r="N156" s="2" t="s">
        <v>71</v>
      </c>
      <c r="O156" s="2">
        <v>0.0</v>
      </c>
      <c r="P156" s="2" t="s">
        <v>49</v>
      </c>
      <c r="Q156" s="2" t="s">
        <v>713</v>
      </c>
      <c r="R156" s="2" t="s">
        <v>806</v>
      </c>
      <c r="S156" s="2" t="s">
        <v>867</v>
      </c>
      <c r="T156" s="2" t="s">
        <v>312</v>
      </c>
      <c r="U156" s="2">
        <v>6.0</v>
      </c>
    </row>
    <row r="157">
      <c r="A157" s="2" t="s">
        <v>868</v>
      </c>
      <c r="B157" s="2" t="s">
        <v>134</v>
      </c>
      <c r="C157" s="2" t="s">
        <v>65</v>
      </c>
      <c r="D157" s="2" t="s">
        <v>51</v>
      </c>
      <c r="E157" s="2" t="s">
        <v>869</v>
      </c>
      <c r="F157" s="2" t="s">
        <v>300</v>
      </c>
      <c r="G157" s="2" t="s">
        <v>82</v>
      </c>
      <c r="H157" s="2" t="s">
        <v>93</v>
      </c>
      <c r="I157" s="2">
        <v>0.0</v>
      </c>
      <c r="J157" s="2" t="s">
        <v>36</v>
      </c>
      <c r="K157" s="5">
        <v>46051.0</v>
      </c>
      <c r="L157" s="2" t="s">
        <v>118</v>
      </c>
      <c r="M157" s="2" t="s">
        <v>80</v>
      </c>
      <c r="N157" s="5">
        <v>46081.0</v>
      </c>
      <c r="O157" s="5">
        <v>46041.0</v>
      </c>
      <c r="P157" s="2" t="s">
        <v>365</v>
      </c>
      <c r="Q157" s="2" t="s">
        <v>349</v>
      </c>
      <c r="R157" s="6">
        <v>46089.0</v>
      </c>
      <c r="S157" s="2" t="s">
        <v>128</v>
      </c>
      <c r="T157" s="2" t="s">
        <v>67</v>
      </c>
      <c r="U157" s="2" t="s">
        <v>164</v>
      </c>
    </row>
    <row r="158">
      <c r="A158" s="2" t="s">
        <v>870</v>
      </c>
      <c r="B158" s="2" t="s">
        <v>73</v>
      </c>
      <c r="C158" s="5">
        <v>46297.0</v>
      </c>
      <c r="F158" s="2" t="s">
        <v>78</v>
      </c>
      <c r="G158" s="2" t="s">
        <v>248</v>
      </c>
      <c r="H158" s="2" t="s">
        <v>88</v>
      </c>
      <c r="I158" s="2" t="s">
        <v>68</v>
      </c>
      <c r="J158" s="2" t="s">
        <v>80</v>
      </c>
      <c r="K158" s="5">
        <v>46046.0</v>
      </c>
      <c r="L158" s="2" t="s">
        <v>93</v>
      </c>
      <c r="M158" s="2" t="s">
        <v>157</v>
      </c>
      <c r="N158" s="2" t="s">
        <v>62</v>
      </c>
      <c r="O158" s="2" t="s">
        <v>90</v>
      </c>
      <c r="P158" s="2" t="s">
        <v>69</v>
      </c>
      <c r="Q158" s="5">
        <v>46049.0</v>
      </c>
      <c r="R158" s="2" t="s">
        <v>82</v>
      </c>
      <c r="S158" s="2" t="s">
        <v>163</v>
      </c>
      <c r="T158" s="2" t="s">
        <v>303</v>
      </c>
      <c r="U158" s="2">
        <v>5.0</v>
      </c>
    </row>
    <row r="159">
      <c r="A159" s="2" t="s">
        <v>871</v>
      </c>
      <c r="B159" s="2" t="s">
        <v>73</v>
      </c>
      <c r="C159" s="2" t="s">
        <v>872</v>
      </c>
      <c r="D159" s="2" t="s">
        <v>118</v>
      </c>
      <c r="E159" s="2" t="s">
        <v>873</v>
      </c>
      <c r="F159" s="2" t="s">
        <v>132</v>
      </c>
      <c r="G159" s="2" t="s">
        <v>149</v>
      </c>
      <c r="H159" s="2" t="s">
        <v>67</v>
      </c>
      <c r="I159" s="2" t="s">
        <v>290</v>
      </c>
      <c r="J159" s="2" t="s">
        <v>41</v>
      </c>
      <c r="K159" s="5">
        <v>46112.0</v>
      </c>
      <c r="L159" s="2" t="s">
        <v>293</v>
      </c>
      <c r="M159" s="2" t="s">
        <v>191</v>
      </c>
      <c r="N159" s="2" t="s">
        <v>48</v>
      </c>
      <c r="O159" s="2" t="s">
        <v>79</v>
      </c>
      <c r="P159" s="2" t="s">
        <v>49</v>
      </c>
      <c r="Q159" s="5">
        <v>46037.0</v>
      </c>
      <c r="R159" s="2" t="s">
        <v>874</v>
      </c>
      <c r="S159" s="2" t="s">
        <v>266</v>
      </c>
      <c r="T159" s="2" t="s">
        <v>288</v>
      </c>
      <c r="U159" s="2">
        <v>5.0</v>
      </c>
    </row>
    <row r="160">
      <c r="A160" s="2" t="s">
        <v>875</v>
      </c>
      <c r="B160" s="2" t="s">
        <v>143</v>
      </c>
      <c r="C160" s="2" t="s">
        <v>876</v>
      </c>
      <c r="D160" s="2" t="s">
        <v>64</v>
      </c>
      <c r="E160" s="2" t="s">
        <v>877</v>
      </c>
      <c r="F160" s="2" t="s">
        <v>61</v>
      </c>
      <c r="G160" s="2" t="s">
        <v>91</v>
      </c>
      <c r="H160" s="2" t="s">
        <v>79</v>
      </c>
      <c r="I160" s="5">
        <v>46075.0</v>
      </c>
      <c r="J160" s="2" t="s">
        <v>310</v>
      </c>
      <c r="K160" s="2" t="s">
        <v>444</v>
      </c>
      <c r="L160" s="2" t="s">
        <v>186</v>
      </c>
      <c r="M160" s="2" t="s">
        <v>114</v>
      </c>
      <c r="N160" s="2" t="s">
        <v>130</v>
      </c>
      <c r="O160" s="2" t="s">
        <v>69</v>
      </c>
      <c r="P160" s="2" t="s">
        <v>49</v>
      </c>
      <c r="Q160" s="5">
        <v>46047.0</v>
      </c>
      <c r="R160" s="2" t="s">
        <v>878</v>
      </c>
      <c r="S160" s="5">
        <v>46065.0</v>
      </c>
      <c r="T160" s="2" t="s">
        <v>222</v>
      </c>
      <c r="U160" s="2">
        <v>6.0</v>
      </c>
    </row>
    <row r="161">
      <c r="A161" s="2" t="s">
        <v>879</v>
      </c>
      <c r="B161" s="2" t="s">
        <v>134</v>
      </c>
      <c r="C161" s="2" t="s">
        <v>880</v>
      </c>
      <c r="D161" s="2" t="s">
        <v>167</v>
      </c>
      <c r="E161" s="2" t="s">
        <v>881</v>
      </c>
      <c r="F161" s="2" t="s">
        <v>285</v>
      </c>
      <c r="G161" s="2" t="s">
        <v>80</v>
      </c>
      <c r="H161" s="2" t="s">
        <v>78</v>
      </c>
      <c r="I161" s="2" t="s">
        <v>88</v>
      </c>
      <c r="J161" s="2" t="s">
        <v>81</v>
      </c>
      <c r="K161" s="2" t="s">
        <v>187</v>
      </c>
      <c r="L161" s="2" t="s">
        <v>97</v>
      </c>
      <c r="M161" s="2" t="s">
        <v>48</v>
      </c>
      <c r="N161" s="2" t="s">
        <v>49</v>
      </c>
      <c r="O161" s="2" t="s">
        <v>68</v>
      </c>
      <c r="P161" s="2" t="s">
        <v>181</v>
      </c>
      <c r="Q161" s="2" t="s">
        <v>132</v>
      </c>
      <c r="R161" s="2" t="s">
        <v>882</v>
      </c>
      <c r="S161" s="2" t="s">
        <v>394</v>
      </c>
      <c r="T161" s="6">
        <v>46082.0</v>
      </c>
      <c r="U161" s="2">
        <v>6.0</v>
      </c>
    </row>
    <row r="162">
      <c r="A162" s="2" t="s">
        <v>883</v>
      </c>
      <c r="B162" s="2" t="s">
        <v>103</v>
      </c>
      <c r="C162" s="2" t="s">
        <v>100</v>
      </c>
      <c r="D162" s="2" t="s">
        <v>163</v>
      </c>
      <c r="E162" s="2" t="s">
        <v>884</v>
      </c>
      <c r="F162" s="2" t="s">
        <v>248</v>
      </c>
      <c r="G162" s="2" t="s">
        <v>69</v>
      </c>
      <c r="H162" s="2" t="s">
        <v>88</v>
      </c>
      <c r="I162" s="6">
        <v>46082.0</v>
      </c>
      <c r="J162" s="2" t="s">
        <v>154</v>
      </c>
      <c r="K162" s="5">
        <v>46137.0</v>
      </c>
      <c r="L162" s="2" t="s">
        <v>38</v>
      </c>
      <c r="M162" s="2" t="s">
        <v>82</v>
      </c>
      <c r="N162" s="2" t="s">
        <v>885</v>
      </c>
      <c r="O162" s="2" t="s">
        <v>886</v>
      </c>
      <c r="P162" s="2" t="s">
        <v>93</v>
      </c>
      <c r="Q162" s="2" t="s">
        <v>887</v>
      </c>
      <c r="R162" s="2" t="s">
        <v>888</v>
      </c>
      <c r="S162" s="2" t="s">
        <v>406</v>
      </c>
      <c r="T162" s="2" t="s">
        <v>181</v>
      </c>
      <c r="U162" s="2" t="s">
        <v>164</v>
      </c>
    </row>
    <row r="163">
      <c r="A163" s="2" t="s">
        <v>889</v>
      </c>
      <c r="B163" s="2" t="s">
        <v>73</v>
      </c>
      <c r="C163" s="5">
        <v>46045.0</v>
      </c>
      <c r="D163" s="2" t="s">
        <v>465</v>
      </c>
      <c r="E163" s="2" t="s">
        <v>890</v>
      </c>
      <c r="F163" s="2" t="s">
        <v>293</v>
      </c>
      <c r="G163" s="2" t="s">
        <v>283</v>
      </c>
      <c r="H163" s="2" t="s">
        <v>88</v>
      </c>
      <c r="I163" s="2" t="s">
        <v>254</v>
      </c>
      <c r="J163" s="2" t="s">
        <v>80</v>
      </c>
      <c r="K163" s="6">
        <v>46054.0</v>
      </c>
      <c r="L163" s="2" t="s">
        <v>63</v>
      </c>
      <c r="M163" s="2" t="s">
        <v>233</v>
      </c>
      <c r="N163" s="2" t="s">
        <v>181</v>
      </c>
      <c r="O163" s="2">
        <v>0.0</v>
      </c>
      <c r="P163" s="2" t="s">
        <v>69</v>
      </c>
      <c r="Q163" s="2" t="s">
        <v>159</v>
      </c>
      <c r="R163" s="2" t="s">
        <v>891</v>
      </c>
      <c r="S163" s="5">
        <v>46038.0</v>
      </c>
      <c r="T163" s="5">
        <v>46056.0</v>
      </c>
      <c r="U163" s="2" t="s">
        <v>164</v>
      </c>
    </row>
    <row r="164">
      <c r="A164" s="2" t="s">
        <v>892</v>
      </c>
      <c r="B164" s="2" t="s">
        <v>143</v>
      </c>
      <c r="C164" s="2" t="s">
        <v>893</v>
      </c>
      <c r="D164" s="2" t="s">
        <v>438</v>
      </c>
      <c r="E164" s="2" t="s">
        <v>894</v>
      </c>
      <c r="F164" s="2" t="s">
        <v>417</v>
      </c>
      <c r="G164" s="2" t="s">
        <v>81</v>
      </c>
      <c r="H164" s="5">
        <v>46025.0</v>
      </c>
      <c r="I164" s="2" t="s">
        <v>797</v>
      </c>
      <c r="J164" s="2" t="s">
        <v>93</v>
      </c>
      <c r="K164" s="5">
        <v>46228.0</v>
      </c>
      <c r="L164" s="5">
        <v>46053.0</v>
      </c>
      <c r="M164" s="2" t="s">
        <v>62</v>
      </c>
      <c r="N164" s="2" t="s">
        <v>895</v>
      </c>
      <c r="O164" s="5">
        <v>46072.0</v>
      </c>
      <c r="P164" s="2" t="s">
        <v>45</v>
      </c>
      <c r="Q164" s="2" t="s">
        <v>896</v>
      </c>
      <c r="R164" s="2" t="s">
        <v>356</v>
      </c>
      <c r="S164" s="5">
        <v>46131.0</v>
      </c>
      <c r="T164" s="2" t="s">
        <v>324</v>
      </c>
      <c r="U164" s="2">
        <v>5.0</v>
      </c>
    </row>
    <row r="165">
      <c r="A165" s="2" t="s">
        <v>897</v>
      </c>
      <c r="B165" s="2" t="s">
        <v>58</v>
      </c>
      <c r="C165" s="2">
        <v>8.0</v>
      </c>
      <c r="D165" s="2" t="s">
        <v>94</v>
      </c>
      <c r="E165" s="2" t="s">
        <v>898</v>
      </c>
      <c r="F165" s="2" t="s">
        <v>167</v>
      </c>
      <c r="G165" s="2" t="s">
        <v>62</v>
      </c>
      <c r="H165" s="2" t="s">
        <v>199</v>
      </c>
      <c r="I165" s="5">
        <v>46138.0</v>
      </c>
      <c r="J165" s="2" t="s">
        <v>68</v>
      </c>
      <c r="K165" s="2" t="s">
        <v>899</v>
      </c>
      <c r="L165" s="2" t="s">
        <v>310</v>
      </c>
      <c r="M165" s="2" t="s">
        <v>92</v>
      </c>
      <c r="N165" s="2" t="s">
        <v>128</v>
      </c>
      <c r="O165" s="2" t="s">
        <v>80</v>
      </c>
      <c r="P165" s="2" t="s">
        <v>92</v>
      </c>
      <c r="Q165" s="5">
        <v>46025.0</v>
      </c>
      <c r="R165" s="2" t="s">
        <v>900</v>
      </c>
      <c r="S165" s="2" t="s">
        <v>822</v>
      </c>
      <c r="T165" s="2" t="s">
        <v>793</v>
      </c>
      <c r="U165" s="2">
        <v>6.0</v>
      </c>
    </row>
    <row r="166">
      <c r="A166" s="2" t="s">
        <v>901</v>
      </c>
      <c r="B166" s="2" t="s">
        <v>33</v>
      </c>
      <c r="C166" s="2" t="s">
        <v>902</v>
      </c>
      <c r="D166" s="2" t="s">
        <v>275</v>
      </c>
      <c r="F166" s="2" t="s">
        <v>88</v>
      </c>
      <c r="G166" s="2" t="s">
        <v>93</v>
      </c>
      <c r="H166" s="2" t="s">
        <v>49</v>
      </c>
      <c r="I166" s="2" t="s">
        <v>236</v>
      </c>
      <c r="J166" s="2" t="s">
        <v>80</v>
      </c>
      <c r="K166" s="2" t="s">
        <v>528</v>
      </c>
      <c r="L166" s="2" t="s">
        <v>283</v>
      </c>
      <c r="M166" s="2" t="s">
        <v>114</v>
      </c>
      <c r="N166" s="2" t="s">
        <v>49</v>
      </c>
      <c r="O166" s="2">
        <v>0.0</v>
      </c>
      <c r="P166" s="2" t="s">
        <v>181</v>
      </c>
      <c r="Q166" s="2" t="s">
        <v>77</v>
      </c>
      <c r="R166" s="2" t="s">
        <v>903</v>
      </c>
      <c r="S166" s="2" t="s">
        <v>64</v>
      </c>
      <c r="T166" s="5">
        <v>46058.0</v>
      </c>
      <c r="U166" s="2">
        <v>5.0</v>
      </c>
    </row>
    <row r="167">
      <c r="A167" s="2" t="s">
        <v>904</v>
      </c>
      <c r="B167" s="2" t="s">
        <v>33</v>
      </c>
      <c r="C167" s="6">
        <v>46235.0</v>
      </c>
      <c r="D167" s="2" t="s">
        <v>275</v>
      </c>
      <c r="E167" s="2" t="s">
        <v>905</v>
      </c>
      <c r="F167" s="2" t="s">
        <v>36</v>
      </c>
      <c r="G167" s="2" t="s">
        <v>154</v>
      </c>
      <c r="H167" s="2" t="s">
        <v>114</v>
      </c>
      <c r="I167" s="2" t="s">
        <v>240</v>
      </c>
      <c r="J167" s="2">
        <v>0.0</v>
      </c>
      <c r="K167" s="2" t="s">
        <v>215</v>
      </c>
      <c r="L167" s="2" t="s">
        <v>67</v>
      </c>
      <c r="M167" s="2" t="s">
        <v>154</v>
      </c>
      <c r="N167" s="2" t="s">
        <v>80</v>
      </c>
      <c r="O167" s="2" t="s">
        <v>80</v>
      </c>
      <c r="P167" s="2" t="s">
        <v>41</v>
      </c>
      <c r="Q167" s="2" t="s">
        <v>465</v>
      </c>
      <c r="R167" s="2" t="s">
        <v>732</v>
      </c>
      <c r="S167" s="2" t="s">
        <v>88</v>
      </c>
      <c r="T167" s="2" t="s">
        <v>218</v>
      </c>
      <c r="U167" s="2">
        <v>5.0</v>
      </c>
    </row>
    <row r="168">
      <c r="A168" s="2" t="s">
        <v>906</v>
      </c>
      <c r="B168" s="2" t="s">
        <v>73</v>
      </c>
      <c r="C168" s="2" t="s">
        <v>907</v>
      </c>
      <c r="D168" s="2" t="s">
        <v>233</v>
      </c>
      <c r="E168" s="2" t="s">
        <v>908</v>
      </c>
      <c r="F168" s="2" t="s">
        <v>132</v>
      </c>
      <c r="G168" s="2" t="s">
        <v>130</v>
      </c>
      <c r="H168" s="2" t="s">
        <v>365</v>
      </c>
      <c r="I168" s="2" t="s">
        <v>79</v>
      </c>
      <c r="J168" s="2" t="s">
        <v>93</v>
      </c>
      <c r="K168" s="2" t="s">
        <v>187</v>
      </c>
      <c r="L168" s="2" t="s">
        <v>36</v>
      </c>
      <c r="M168" s="2" t="s">
        <v>130</v>
      </c>
      <c r="N168" s="2" t="s">
        <v>79</v>
      </c>
      <c r="O168" s="2" t="s">
        <v>69</v>
      </c>
      <c r="P168" s="2" t="s">
        <v>69</v>
      </c>
      <c r="Q168" s="6">
        <v>46030.0</v>
      </c>
      <c r="R168" s="2" t="s">
        <v>909</v>
      </c>
      <c r="S168" s="2" t="s">
        <v>376</v>
      </c>
      <c r="T168" s="5">
        <v>46045.0</v>
      </c>
      <c r="U168" s="2">
        <v>6.0</v>
      </c>
    </row>
    <row r="169">
      <c r="A169" s="2" t="s">
        <v>910</v>
      </c>
      <c r="B169" s="2" t="s">
        <v>134</v>
      </c>
      <c r="C169" s="2" t="s">
        <v>911</v>
      </c>
      <c r="D169" s="2" t="s">
        <v>186</v>
      </c>
      <c r="E169" s="2" t="s">
        <v>912</v>
      </c>
      <c r="F169" s="2" t="s">
        <v>254</v>
      </c>
      <c r="G169" s="2" t="s">
        <v>48</v>
      </c>
      <c r="H169" s="2" t="s">
        <v>45</v>
      </c>
      <c r="I169" s="2" t="s">
        <v>670</v>
      </c>
      <c r="J169" s="2" t="s">
        <v>240</v>
      </c>
      <c r="K169" s="2" t="s">
        <v>584</v>
      </c>
      <c r="L169" s="2" t="s">
        <v>394</v>
      </c>
      <c r="M169" s="2" t="s">
        <v>80</v>
      </c>
      <c r="N169" s="2" t="s">
        <v>40</v>
      </c>
      <c r="O169" s="2" t="s">
        <v>178</v>
      </c>
      <c r="P169" s="2" t="s">
        <v>68</v>
      </c>
      <c r="Q169" s="5">
        <v>46046.0</v>
      </c>
      <c r="R169" s="2" t="s">
        <v>414</v>
      </c>
      <c r="S169" s="2" t="s">
        <v>670</v>
      </c>
      <c r="T169" s="5">
        <v>46067.0</v>
      </c>
      <c r="U169" s="2">
        <v>6.0</v>
      </c>
    </row>
    <row r="170">
      <c r="A170" s="2" t="s">
        <v>913</v>
      </c>
      <c r="B170" s="2" t="s">
        <v>134</v>
      </c>
      <c r="C170" s="5">
        <v>46033.0</v>
      </c>
      <c r="D170" s="2" t="s">
        <v>77</v>
      </c>
      <c r="E170" s="2" t="s">
        <v>914</v>
      </c>
      <c r="F170" s="2" t="s">
        <v>63</v>
      </c>
      <c r="G170" s="2" t="s">
        <v>68</v>
      </c>
      <c r="H170" s="2" t="s">
        <v>49</v>
      </c>
      <c r="I170" s="2" t="s">
        <v>69</v>
      </c>
      <c r="J170" s="2" t="s">
        <v>48</v>
      </c>
      <c r="K170" s="2" t="s">
        <v>224</v>
      </c>
      <c r="L170" s="2" t="s">
        <v>66</v>
      </c>
      <c r="M170" s="2" t="s">
        <v>69</v>
      </c>
      <c r="N170" s="2" t="s">
        <v>88</v>
      </c>
      <c r="O170" s="2" t="s">
        <v>107</v>
      </c>
      <c r="P170" s="2" t="s">
        <v>49</v>
      </c>
      <c r="Q170" s="2" t="s">
        <v>387</v>
      </c>
      <c r="R170" s="5">
        <v>46025.0</v>
      </c>
      <c r="S170" s="2" t="s">
        <v>203</v>
      </c>
      <c r="T170" s="2" t="s">
        <v>81</v>
      </c>
      <c r="U170" s="2" t="s">
        <v>124</v>
      </c>
    </row>
    <row r="171">
      <c r="A171" s="2" t="s">
        <v>915</v>
      </c>
      <c r="B171" s="2" t="s">
        <v>73</v>
      </c>
      <c r="C171" s="2" t="s">
        <v>916</v>
      </c>
      <c r="D171" s="2" t="s">
        <v>300</v>
      </c>
      <c r="E171" s="2" t="s">
        <v>917</v>
      </c>
      <c r="F171" s="2" t="s">
        <v>130</v>
      </c>
      <c r="G171" s="2" t="s">
        <v>114</v>
      </c>
      <c r="H171" s="2" t="s">
        <v>81</v>
      </c>
      <c r="I171" s="2" t="s">
        <v>285</v>
      </c>
      <c r="J171" s="2" t="s">
        <v>41</v>
      </c>
      <c r="K171" s="5">
        <v>46035.0</v>
      </c>
      <c r="L171" s="2" t="s">
        <v>130</v>
      </c>
      <c r="M171" s="2" t="s">
        <v>92</v>
      </c>
      <c r="N171" s="2" t="s">
        <v>82</v>
      </c>
      <c r="O171" s="2" t="s">
        <v>48</v>
      </c>
      <c r="P171" s="2" t="s">
        <v>48</v>
      </c>
      <c r="Q171" s="2" t="s">
        <v>465</v>
      </c>
      <c r="R171" s="2" t="s">
        <v>918</v>
      </c>
      <c r="S171" s="2" t="s">
        <v>250</v>
      </c>
      <c r="T171" s="5">
        <v>46066.0</v>
      </c>
      <c r="U171" s="2">
        <v>6.0</v>
      </c>
    </row>
    <row r="172">
      <c r="A172" s="2" t="s">
        <v>919</v>
      </c>
      <c r="B172" s="2" t="s">
        <v>134</v>
      </c>
      <c r="C172" s="2" t="s">
        <v>114</v>
      </c>
      <c r="D172" s="2" t="s">
        <v>186</v>
      </c>
      <c r="E172" s="2" t="s">
        <v>920</v>
      </c>
      <c r="F172" s="5">
        <v>46041.0</v>
      </c>
      <c r="G172" s="2" t="s">
        <v>310</v>
      </c>
      <c r="H172" s="2" t="s">
        <v>154</v>
      </c>
      <c r="I172" s="2" t="s">
        <v>159</v>
      </c>
      <c r="J172" s="2" t="s">
        <v>42</v>
      </c>
      <c r="K172" s="5">
        <v>46060.0</v>
      </c>
      <c r="L172" s="2" t="s">
        <v>111</v>
      </c>
      <c r="M172" s="2" t="s">
        <v>48</v>
      </c>
      <c r="N172" s="2" t="s">
        <v>149</v>
      </c>
      <c r="O172" s="2" t="s">
        <v>88</v>
      </c>
      <c r="P172" s="2">
        <v>0.0</v>
      </c>
      <c r="Q172" s="2" t="s">
        <v>921</v>
      </c>
      <c r="R172" s="2" t="s">
        <v>922</v>
      </c>
      <c r="S172" s="2" t="s">
        <v>752</v>
      </c>
      <c r="T172" s="2" t="s">
        <v>122</v>
      </c>
      <c r="U172" s="2" t="s">
        <v>124</v>
      </c>
    </row>
    <row r="173">
      <c r="A173" s="2" t="s">
        <v>923</v>
      </c>
      <c r="B173" s="2" t="s">
        <v>103</v>
      </c>
      <c r="C173" s="2" t="s">
        <v>546</v>
      </c>
      <c r="D173" s="2" t="s">
        <v>394</v>
      </c>
      <c r="E173" s="2" t="s">
        <v>924</v>
      </c>
      <c r="F173" s="2" t="s">
        <v>36</v>
      </c>
      <c r="G173" s="2" t="s">
        <v>178</v>
      </c>
      <c r="H173" s="2" t="s">
        <v>81</v>
      </c>
      <c r="I173" s="2" t="s">
        <v>616</v>
      </c>
      <c r="J173" s="2" t="s">
        <v>149</v>
      </c>
      <c r="K173" s="2" t="s">
        <v>826</v>
      </c>
      <c r="L173" s="2" t="s">
        <v>49</v>
      </c>
      <c r="M173" s="2" t="s">
        <v>80</v>
      </c>
      <c r="N173" s="2" t="s">
        <v>91</v>
      </c>
      <c r="O173" s="2" t="s">
        <v>379</v>
      </c>
      <c r="P173" s="2">
        <v>0.0</v>
      </c>
      <c r="Q173" s="2" t="s">
        <v>752</v>
      </c>
      <c r="R173" s="2" t="s">
        <v>925</v>
      </c>
      <c r="S173" s="2" t="s">
        <v>926</v>
      </c>
      <c r="T173" s="6">
        <v>46149.0</v>
      </c>
      <c r="U173" s="2" t="s">
        <v>124</v>
      </c>
    </row>
    <row r="174">
      <c r="A174" s="2" t="s">
        <v>927</v>
      </c>
      <c r="B174" s="2" t="s">
        <v>73</v>
      </c>
      <c r="C174" s="2" t="s">
        <v>928</v>
      </c>
      <c r="D174" s="2" t="s">
        <v>186</v>
      </c>
      <c r="E174" s="2" t="s">
        <v>929</v>
      </c>
      <c r="F174" s="2" t="s">
        <v>376</v>
      </c>
      <c r="G174" s="2" t="s">
        <v>93</v>
      </c>
      <c r="H174" s="2" t="s">
        <v>203</v>
      </c>
      <c r="I174" s="5">
        <v>46033.0</v>
      </c>
      <c r="J174" s="2" t="s">
        <v>69</v>
      </c>
      <c r="K174" s="2" t="s">
        <v>290</v>
      </c>
      <c r="L174" s="2" t="s">
        <v>465</v>
      </c>
      <c r="M174" s="2" t="s">
        <v>41</v>
      </c>
      <c r="N174" s="2" t="s">
        <v>181</v>
      </c>
      <c r="O174" s="2" t="s">
        <v>45</v>
      </c>
      <c r="P174" s="2" t="s">
        <v>49</v>
      </c>
      <c r="Q174" s="2" t="s">
        <v>94</v>
      </c>
      <c r="R174" s="2" t="s">
        <v>930</v>
      </c>
      <c r="S174" s="2" t="s">
        <v>475</v>
      </c>
      <c r="T174" s="2" t="s">
        <v>778</v>
      </c>
      <c r="U174" s="2">
        <v>5.0</v>
      </c>
    </row>
    <row r="175">
      <c r="A175" s="2" t="s">
        <v>931</v>
      </c>
      <c r="B175" s="2" t="s">
        <v>33</v>
      </c>
      <c r="C175" s="2">
        <v>74.0</v>
      </c>
      <c r="D175" s="2" t="s">
        <v>376</v>
      </c>
      <c r="E175" s="2" t="s">
        <v>932</v>
      </c>
      <c r="F175" s="2" t="s">
        <v>64</v>
      </c>
      <c r="G175" s="2" t="s">
        <v>92</v>
      </c>
      <c r="H175" s="2" t="s">
        <v>130</v>
      </c>
      <c r="I175" s="2" t="s">
        <v>202</v>
      </c>
      <c r="J175" s="2" t="s">
        <v>49</v>
      </c>
      <c r="K175" s="2" t="s">
        <v>242</v>
      </c>
      <c r="L175" s="2" t="s">
        <v>167</v>
      </c>
      <c r="M175" s="2" t="s">
        <v>93</v>
      </c>
      <c r="N175" s="2" t="s">
        <v>77</v>
      </c>
      <c r="O175" s="2" t="s">
        <v>49</v>
      </c>
      <c r="P175" s="2" t="s">
        <v>49</v>
      </c>
      <c r="Q175" s="2" t="s">
        <v>217</v>
      </c>
      <c r="R175" s="2" t="s">
        <v>933</v>
      </c>
      <c r="S175" s="2" t="s">
        <v>202</v>
      </c>
      <c r="T175" s="5">
        <v>46072.0</v>
      </c>
      <c r="U175" s="2">
        <v>5.0</v>
      </c>
    </row>
    <row r="176">
      <c r="A176" s="2" t="s">
        <v>934</v>
      </c>
      <c r="B176" s="2" t="s">
        <v>33</v>
      </c>
      <c r="C176" s="5">
        <v>46159.0</v>
      </c>
      <c r="D176" s="2" t="s">
        <v>324</v>
      </c>
      <c r="E176" s="2" t="s">
        <v>935</v>
      </c>
      <c r="F176" s="2" t="s">
        <v>59</v>
      </c>
      <c r="G176" s="2" t="s">
        <v>132</v>
      </c>
      <c r="H176" s="2" t="s">
        <v>41</v>
      </c>
      <c r="I176" s="5">
        <v>46125.0</v>
      </c>
      <c r="J176" s="2" t="s">
        <v>80</v>
      </c>
      <c r="K176" s="2" t="s">
        <v>620</v>
      </c>
      <c r="L176" s="2" t="s">
        <v>77</v>
      </c>
      <c r="M176" s="2" t="s">
        <v>512</v>
      </c>
      <c r="N176" s="2" t="s">
        <v>48</v>
      </c>
      <c r="O176" s="2" t="s">
        <v>240</v>
      </c>
      <c r="P176" s="2" t="s">
        <v>93</v>
      </c>
      <c r="Q176" s="2" t="s">
        <v>558</v>
      </c>
      <c r="R176" s="2" t="s">
        <v>936</v>
      </c>
      <c r="S176" s="5">
        <v>46097.0</v>
      </c>
      <c r="T176" s="2" t="s">
        <v>512</v>
      </c>
      <c r="U176" s="2">
        <v>6.0</v>
      </c>
    </row>
    <row r="177">
      <c r="A177" s="2" t="s">
        <v>937</v>
      </c>
      <c r="B177" s="2" t="s">
        <v>73</v>
      </c>
      <c r="C177" s="2" t="s">
        <v>938</v>
      </c>
      <c r="D177" s="2" t="s">
        <v>224</v>
      </c>
      <c r="E177" s="2" t="s">
        <v>939</v>
      </c>
      <c r="F177" s="2" t="s">
        <v>130</v>
      </c>
      <c r="G177" s="2" t="s">
        <v>91</v>
      </c>
      <c r="H177" s="2" t="s">
        <v>100</v>
      </c>
      <c r="I177" s="2" t="s">
        <v>41</v>
      </c>
      <c r="J177" s="2" t="s">
        <v>149</v>
      </c>
      <c r="K177" s="5">
        <v>46046.0</v>
      </c>
      <c r="L177" s="2" t="s">
        <v>293</v>
      </c>
      <c r="M177" s="2" t="s">
        <v>91</v>
      </c>
      <c r="N177" s="2" t="s">
        <v>80</v>
      </c>
      <c r="O177" s="2" t="s">
        <v>49</v>
      </c>
      <c r="P177" s="2" t="s">
        <v>49</v>
      </c>
      <c r="Q177" s="2" t="s">
        <v>83</v>
      </c>
      <c r="R177" s="2" t="s">
        <v>940</v>
      </c>
      <c r="S177" s="2" t="s">
        <v>186</v>
      </c>
      <c r="T177" s="5">
        <v>46065.0</v>
      </c>
      <c r="U177" s="2">
        <v>6.0</v>
      </c>
    </row>
    <row r="178">
      <c r="A178" s="2" t="s">
        <v>941</v>
      </c>
      <c r="B178" s="2" t="s">
        <v>58</v>
      </c>
      <c r="C178" s="2" t="s">
        <v>942</v>
      </c>
      <c r="D178" s="2" t="s">
        <v>128</v>
      </c>
      <c r="E178" s="2" t="s">
        <v>943</v>
      </c>
      <c r="F178" s="2" t="s">
        <v>275</v>
      </c>
      <c r="G178" s="2" t="s">
        <v>80</v>
      </c>
      <c r="H178" s="2" t="s">
        <v>78</v>
      </c>
      <c r="I178" s="2" t="s">
        <v>202</v>
      </c>
      <c r="J178" s="2" t="s">
        <v>69</v>
      </c>
      <c r="K178" s="2" t="s">
        <v>380</v>
      </c>
      <c r="L178" s="5">
        <v>46027.0</v>
      </c>
      <c r="M178" s="2" t="s">
        <v>92</v>
      </c>
      <c r="N178" s="2" t="s">
        <v>248</v>
      </c>
      <c r="O178" s="2" t="s">
        <v>91</v>
      </c>
      <c r="P178" s="2" t="s">
        <v>68</v>
      </c>
      <c r="Q178" s="5">
        <v>46080.0</v>
      </c>
      <c r="R178" s="2" t="s">
        <v>944</v>
      </c>
      <c r="S178" s="2" t="s">
        <v>383</v>
      </c>
      <c r="T178" s="5">
        <v>46047.0</v>
      </c>
      <c r="U178" s="2">
        <v>5.0</v>
      </c>
    </row>
    <row r="179">
      <c r="A179" s="2" t="s">
        <v>945</v>
      </c>
      <c r="B179" s="2" t="s">
        <v>143</v>
      </c>
      <c r="C179" s="2" t="s">
        <v>946</v>
      </c>
      <c r="D179" s="2" t="s">
        <v>438</v>
      </c>
      <c r="E179" s="2" t="s">
        <v>947</v>
      </c>
      <c r="F179" s="2" t="s">
        <v>162</v>
      </c>
      <c r="G179" s="2" t="s">
        <v>203</v>
      </c>
      <c r="H179" s="2" t="s">
        <v>123</v>
      </c>
      <c r="I179" s="5">
        <v>46095.0</v>
      </c>
      <c r="J179" s="2" t="s">
        <v>41</v>
      </c>
      <c r="K179" s="2" t="s">
        <v>823</v>
      </c>
      <c r="L179" s="2" t="s">
        <v>77</v>
      </c>
      <c r="M179" s="2" t="s">
        <v>92</v>
      </c>
      <c r="N179" s="2" t="s">
        <v>92</v>
      </c>
      <c r="O179" s="2" t="s">
        <v>38</v>
      </c>
      <c r="P179" s="2" t="s">
        <v>42</v>
      </c>
      <c r="Q179" s="2" t="s">
        <v>187</v>
      </c>
      <c r="R179" s="2" t="s">
        <v>948</v>
      </c>
      <c r="S179" s="2" t="s">
        <v>825</v>
      </c>
      <c r="T179" s="2" t="s">
        <v>949</v>
      </c>
      <c r="U179" s="2">
        <v>6.0</v>
      </c>
    </row>
    <row r="180">
      <c r="A180" s="2" t="s">
        <v>950</v>
      </c>
      <c r="B180" s="2" t="s">
        <v>33</v>
      </c>
      <c r="C180" s="2" t="s">
        <v>951</v>
      </c>
      <c r="D180" s="2" t="s">
        <v>111</v>
      </c>
      <c r="E180" s="2" t="s">
        <v>952</v>
      </c>
      <c r="F180" s="2" t="s">
        <v>213</v>
      </c>
      <c r="G180" s="2" t="s">
        <v>178</v>
      </c>
      <c r="H180" s="2" t="s">
        <v>199</v>
      </c>
      <c r="I180" s="2" t="s">
        <v>953</v>
      </c>
      <c r="J180" s="2" t="s">
        <v>178</v>
      </c>
      <c r="K180" s="2" t="s">
        <v>954</v>
      </c>
      <c r="L180" s="2" t="s">
        <v>48</v>
      </c>
      <c r="M180" s="2">
        <v>0.0</v>
      </c>
      <c r="N180" s="2" t="s">
        <v>68</v>
      </c>
      <c r="O180" s="2" t="s">
        <v>300</v>
      </c>
      <c r="P180" s="2">
        <v>0.0</v>
      </c>
      <c r="Q180" s="2" t="s">
        <v>157</v>
      </c>
      <c r="R180" s="2" t="s">
        <v>955</v>
      </c>
      <c r="S180" s="2" t="s">
        <v>567</v>
      </c>
      <c r="T180" s="2" t="s">
        <v>956</v>
      </c>
      <c r="U180" s="2">
        <v>6.0</v>
      </c>
    </row>
    <row r="181">
      <c r="A181" s="2" t="s">
        <v>957</v>
      </c>
      <c r="B181" s="2" t="s">
        <v>205</v>
      </c>
      <c r="C181" s="2" t="s">
        <v>958</v>
      </c>
      <c r="D181" s="2" t="s">
        <v>215</v>
      </c>
      <c r="E181" s="2" t="s">
        <v>959</v>
      </c>
      <c r="F181" s="5">
        <v>46035.0</v>
      </c>
      <c r="G181" s="2" t="s">
        <v>38</v>
      </c>
      <c r="H181" s="2" t="s">
        <v>254</v>
      </c>
      <c r="I181" s="5">
        <v>46151.0</v>
      </c>
      <c r="J181" s="2" t="s">
        <v>92</v>
      </c>
      <c r="K181" s="5">
        <v>46256.0</v>
      </c>
      <c r="L181" s="2" t="s">
        <v>419</v>
      </c>
      <c r="M181" s="2" t="s">
        <v>203</v>
      </c>
      <c r="N181" s="2" t="s">
        <v>287</v>
      </c>
      <c r="O181" s="2" t="s">
        <v>90</v>
      </c>
      <c r="P181" s="2" t="s">
        <v>93</v>
      </c>
      <c r="Q181" s="2" t="s">
        <v>949</v>
      </c>
      <c r="R181" s="2" t="s">
        <v>960</v>
      </c>
      <c r="S181" s="2" t="s">
        <v>961</v>
      </c>
      <c r="T181" s="5">
        <v>46072.0</v>
      </c>
      <c r="U181" s="2">
        <v>6.0</v>
      </c>
    </row>
    <row r="182">
      <c r="A182" s="2" t="s">
        <v>962</v>
      </c>
      <c r="B182" s="2" t="s">
        <v>103</v>
      </c>
      <c r="C182" s="5">
        <v>46085.0</v>
      </c>
      <c r="D182" s="2" t="s">
        <v>44</v>
      </c>
      <c r="E182" s="2" t="s">
        <v>963</v>
      </c>
      <c r="F182" s="2" t="s">
        <v>178</v>
      </c>
      <c r="G182" s="2" t="s">
        <v>303</v>
      </c>
      <c r="H182" s="2" t="s">
        <v>65</v>
      </c>
      <c r="I182" s="2" t="s">
        <v>303</v>
      </c>
      <c r="J182" s="2" t="s">
        <v>181</v>
      </c>
      <c r="K182" s="2" t="s">
        <v>680</v>
      </c>
      <c r="L182" s="2" t="s">
        <v>519</v>
      </c>
      <c r="M182" s="2" t="s">
        <v>964</v>
      </c>
      <c r="N182" s="5">
        <v>46044.0</v>
      </c>
      <c r="O182" s="5">
        <v>46071.0</v>
      </c>
      <c r="P182" s="2" t="s">
        <v>79</v>
      </c>
      <c r="Q182" s="2" t="s">
        <v>965</v>
      </c>
      <c r="R182" s="2" t="s">
        <v>966</v>
      </c>
      <c r="S182" s="2" t="s">
        <v>539</v>
      </c>
      <c r="T182" s="2" t="s">
        <v>203</v>
      </c>
      <c r="U182" s="2" t="s">
        <v>124</v>
      </c>
    </row>
    <row r="183">
      <c r="A183" s="2" t="s">
        <v>967</v>
      </c>
      <c r="B183" s="2" t="s">
        <v>33</v>
      </c>
      <c r="C183" s="2" t="s">
        <v>968</v>
      </c>
      <c r="D183" s="2" t="s">
        <v>254</v>
      </c>
      <c r="E183" s="2" t="s">
        <v>969</v>
      </c>
      <c r="F183" s="2" t="s">
        <v>275</v>
      </c>
      <c r="G183" s="2" t="s">
        <v>240</v>
      </c>
      <c r="H183" s="2" t="s">
        <v>41</v>
      </c>
      <c r="I183" s="2" t="s">
        <v>234</v>
      </c>
      <c r="J183" s="2">
        <v>0.0</v>
      </c>
      <c r="K183" s="2" t="s">
        <v>355</v>
      </c>
      <c r="L183" s="2" t="s">
        <v>157</v>
      </c>
      <c r="M183" s="2" t="s">
        <v>40</v>
      </c>
      <c r="N183" s="2" t="s">
        <v>69</v>
      </c>
      <c r="O183" s="2" t="s">
        <v>82</v>
      </c>
      <c r="P183" s="2" t="s">
        <v>41</v>
      </c>
      <c r="Q183" s="2" t="s">
        <v>249</v>
      </c>
      <c r="R183" s="2" t="s">
        <v>930</v>
      </c>
      <c r="S183" s="2" t="s">
        <v>546</v>
      </c>
      <c r="T183" s="2" t="s">
        <v>136</v>
      </c>
      <c r="U183" s="2">
        <v>6.0</v>
      </c>
    </row>
    <row r="184">
      <c r="A184" s="2" t="s">
        <v>970</v>
      </c>
      <c r="B184" s="2" t="s">
        <v>103</v>
      </c>
      <c r="C184" s="2" t="s">
        <v>971</v>
      </c>
      <c r="D184" s="2" t="s">
        <v>972</v>
      </c>
      <c r="E184" s="2" t="s">
        <v>973</v>
      </c>
      <c r="F184" s="2" t="s">
        <v>123</v>
      </c>
      <c r="G184" s="2" t="s">
        <v>128</v>
      </c>
      <c r="H184" s="2" t="s">
        <v>92</v>
      </c>
      <c r="I184" s="5">
        <v>46066.0</v>
      </c>
      <c r="J184" s="2" t="s">
        <v>93</v>
      </c>
      <c r="K184" s="2" t="s">
        <v>974</v>
      </c>
      <c r="L184" s="2" t="s">
        <v>154</v>
      </c>
      <c r="M184" s="2" t="s">
        <v>138</v>
      </c>
      <c r="N184" s="2" t="s">
        <v>489</v>
      </c>
      <c r="O184" s="2" t="s">
        <v>45</v>
      </c>
      <c r="P184" s="2" t="s">
        <v>49</v>
      </c>
      <c r="Q184" s="2" t="s">
        <v>975</v>
      </c>
      <c r="R184" s="2" t="s">
        <v>976</v>
      </c>
      <c r="S184" s="6">
        <v>46059.0</v>
      </c>
      <c r="T184" s="5">
        <v>46050.0</v>
      </c>
      <c r="U184" s="2">
        <v>5.0</v>
      </c>
    </row>
    <row r="185">
      <c r="A185" s="2" t="s">
        <v>977</v>
      </c>
      <c r="B185" s="2" t="s">
        <v>134</v>
      </c>
      <c r="C185" s="2" t="s">
        <v>978</v>
      </c>
      <c r="D185" s="2" t="s">
        <v>118</v>
      </c>
      <c r="E185" s="2" t="s">
        <v>979</v>
      </c>
      <c r="F185" s="2" t="s">
        <v>51</v>
      </c>
      <c r="G185" s="2" t="s">
        <v>80</v>
      </c>
      <c r="H185" s="2" t="s">
        <v>178</v>
      </c>
      <c r="I185" s="2" t="s">
        <v>44</v>
      </c>
      <c r="J185" s="2" t="s">
        <v>181</v>
      </c>
      <c r="K185" s="2" t="s">
        <v>282</v>
      </c>
      <c r="L185" s="2" t="s">
        <v>65</v>
      </c>
      <c r="M185" s="2" t="s">
        <v>80</v>
      </c>
      <c r="N185" s="2" t="s">
        <v>79</v>
      </c>
      <c r="O185" s="2" t="s">
        <v>78</v>
      </c>
      <c r="P185" s="2" t="s">
        <v>114</v>
      </c>
      <c r="Q185" s="2">
        <v>1.0</v>
      </c>
      <c r="R185" s="2" t="s">
        <v>980</v>
      </c>
      <c r="S185" s="2" t="s">
        <v>540</v>
      </c>
      <c r="T185" s="2" t="s">
        <v>468</v>
      </c>
      <c r="U185" s="2">
        <v>6.0</v>
      </c>
    </row>
    <row r="186">
      <c r="A186" s="2" t="s">
        <v>981</v>
      </c>
      <c r="B186" s="2" t="s">
        <v>134</v>
      </c>
      <c r="C186" s="2" t="s">
        <v>80</v>
      </c>
      <c r="K186" s="6">
        <v>46060.0</v>
      </c>
      <c r="Q186" s="2" t="s">
        <v>528</v>
      </c>
      <c r="R186" s="2" t="s">
        <v>789</v>
      </c>
      <c r="S186" s="5">
        <v>46041.0</v>
      </c>
      <c r="T186" s="2" t="s">
        <v>379</v>
      </c>
      <c r="U186" s="2" t="s">
        <v>210</v>
      </c>
    </row>
    <row r="187">
      <c r="A187" s="2" t="s">
        <v>982</v>
      </c>
      <c r="B187" s="2" t="s">
        <v>33</v>
      </c>
      <c r="C187" s="2" t="s">
        <v>983</v>
      </c>
      <c r="D187" s="2" t="s">
        <v>51</v>
      </c>
      <c r="E187" s="2" t="s">
        <v>984</v>
      </c>
      <c r="F187" s="2" t="s">
        <v>130</v>
      </c>
      <c r="G187" s="2" t="s">
        <v>154</v>
      </c>
      <c r="H187" s="2" t="s">
        <v>49</v>
      </c>
      <c r="I187" s="2" t="s">
        <v>201</v>
      </c>
      <c r="J187" s="2" t="s">
        <v>49</v>
      </c>
      <c r="K187" s="6">
        <v>46025.0</v>
      </c>
      <c r="L187" s="2" t="s">
        <v>93</v>
      </c>
      <c r="M187" s="2" t="s">
        <v>92</v>
      </c>
      <c r="N187" s="2" t="s">
        <v>49</v>
      </c>
      <c r="O187" s="2" t="s">
        <v>40</v>
      </c>
      <c r="P187" s="2" t="s">
        <v>49</v>
      </c>
      <c r="Q187" s="2" t="s">
        <v>51</v>
      </c>
      <c r="R187" s="2" t="s">
        <v>235</v>
      </c>
      <c r="S187" s="2" t="s">
        <v>83</v>
      </c>
      <c r="T187" s="6">
        <v>46059.0</v>
      </c>
      <c r="U187" s="2">
        <v>5.0</v>
      </c>
    </row>
    <row r="188">
      <c r="A188" s="2" t="s">
        <v>985</v>
      </c>
      <c r="B188" s="2" t="s">
        <v>73</v>
      </c>
      <c r="C188" s="2" t="s">
        <v>986</v>
      </c>
      <c r="D188" s="2" t="s">
        <v>191</v>
      </c>
      <c r="E188" s="2" t="s">
        <v>987</v>
      </c>
      <c r="F188" s="2" t="s">
        <v>178</v>
      </c>
      <c r="G188" s="2" t="s">
        <v>42</v>
      </c>
      <c r="H188" s="2" t="s">
        <v>90</v>
      </c>
      <c r="I188" s="2" t="s">
        <v>45</v>
      </c>
      <c r="J188" s="2" t="s">
        <v>80</v>
      </c>
      <c r="K188" s="2" t="s">
        <v>225</v>
      </c>
      <c r="L188" s="2" t="s">
        <v>45</v>
      </c>
      <c r="M188" s="2" t="s">
        <v>107</v>
      </c>
      <c r="N188" s="2" t="s">
        <v>225</v>
      </c>
      <c r="O188" s="2" t="s">
        <v>48</v>
      </c>
      <c r="P188" s="2" t="s">
        <v>49</v>
      </c>
      <c r="Q188" s="5">
        <v>46076.0</v>
      </c>
      <c r="R188" s="5">
        <v>46046.0</v>
      </c>
      <c r="S188" s="2" t="s">
        <v>138</v>
      </c>
      <c r="T188" s="2" t="s">
        <v>132</v>
      </c>
      <c r="U188" s="2">
        <v>6.0</v>
      </c>
    </row>
    <row r="189">
      <c r="A189" s="2" t="s">
        <v>988</v>
      </c>
      <c r="B189" s="2" t="s">
        <v>73</v>
      </c>
      <c r="C189" s="2" t="s">
        <v>989</v>
      </c>
      <c r="D189" s="2" t="s">
        <v>231</v>
      </c>
      <c r="E189" s="2" t="s">
        <v>990</v>
      </c>
      <c r="F189" s="2" t="s">
        <v>40</v>
      </c>
      <c r="G189" s="2" t="s">
        <v>310</v>
      </c>
      <c r="H189" s="2" t="s">
        <v>67</v>
      </c>
      <c r="I189" s="2" t="s">
        <v>465</v>
      </c>
      <c r="J189" s="2" t="s">
        <v>80</v>
      </c>
      <c r="K189" s="2" t="s">
        <v>379</v>
      </c>
      <c r="L189" s="2" t="s">
        <v>91</v>
      </c>
      <c r="M189" s="2" t="s">
        <v>310</v>
      </c>
      <c r="N189" s="2" t="s">
        <v>92</v>
      </c>
      <c r="O189" s="2" t="s">
        <v>80</v>
      </c>
      <c r="P189" s="2" t="s">
        <v>48</v>
      </c>
      <c r="Q189" s="2" t="s">
        <v>275</v>
      </c>
      <c r="R189" s="2" t="s">
        <v>545</v>
      </c>
      <c r="S189" s="2" t="s">
        <v>44</v>
      </c>
      <c r="T189" s="5">
        <v>46055.0</v>
      </c>
      <c r="U189" s="2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1.63"/>
    <col customWidth="1" min="3" max="3" width="16.0"/>
    <col customWidth="1" min="4" max="4" width="21.75"/>
    <col customWidth="1" min="6" max="6" width="19.13"/>
    <col customWidth="1" min="7" max="7" width="15.25"/>
    <col customWidth="1" min="8" max="8" width="13.13"/>
    <col customWidth="1" min="9" max="9" width="27.0"/>
    <col customWidth="1" min="10" max="10" width="14.75"/>
    <col customWidth="1" min="11" max="11" width="20.38"/>
    <col customWidth="1" min="12" max="12" width="14.5"/>
    <col customWidth="1" min="13" max="13" width="20.38"/>
    <col customWidth="1" min="14" max="14" width="14.0"/>
    <col customWidth="1" min="15" max="15" width="20.38"/>
    <col customWidth="1" min="16" max="16" width="13.88"/>
    <col customWidth="1" min="17" max="17" width="20.38"/>
    <col customWidth="1" min="18" max="18" width="11.75"/>
    <col customWidth="1" min="19" max="19" width="20.38"/>
    <col customWidth="1" min="21" max="21" width="25.5"/>
    <col customWidth="1" min="23" max="23" width="20.38"/>
    <col customWidth="1" min="25" max="25" width="20.38"/>
    <col customWidth="1" min="27" max="27" width="20.38"/>
    <col customWidth="1" min="29" max="29" width="20.38"/>
    <col customWidth="1" min="31" max="31" width="20.38"/>
    <col customWidth="1" min="32" max="32" width="15.0"/>
    <col customWidth="1" min="33" max="33" width="20.38"/>
    <col customWidth="1" min="35" max="35" width="29.5"/>
    <col customWidth="1" min="37" max="37" width="20.38"/>
    <col customWidth="1" min="39" max="40" width="20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8</v>
      </c>
      <c r="G1" s="1" t="s">
        <v>10</v>
      </c>
      <c r="H1" s="2" t="s">
        <v>5</v>
      </c>
      <c r="I1" s="1" t="s">
        <v>13</v>
      </c>
      <c r="J1" s="2" t="s">
        <v>6</v>
      </c>
      <c r="K1" s="1" t="s">
        <v>17</v>
      </c>
      <c r="L1" s="2" t="s">
        <v>7</v>
      </c>
      <c r="M1" s="1" t="s">
        <v>19</v>
      </c>
      <c r="N1" s="2" t="s">
        <v>9</v>
      </c>
      <c r="O1" s="1" t="s">
        <v>22</v>
      </c>
      <c r="P1" s="2" t="s">
        <v>11</v>
      </c>
      <c r="Q1" s="1" t="s">
        <v>25</v>
      </c>
      <c r="R1" s="2" t="s">
        <v>12</v>
      </c>
      <c r="S1" s="1" t="s">
        <v>26</v>
      </c>
      <c r="T1" s="2" t="s">
        <v>14</v>
      </c>
      <c r="U1" s="1" t="s">
        <v>30</v>
      </c>
      <c r="V1" s="2" t="s">
        <v>15</v>
      </c>
      <c r="W1" s="1" t="s">
        <v>34</v>
      </c>
      <c r="X1" s="2" t="s">
        <v>16</v>
      </c>
      <c r="Y1" s="1" t="s">
        <v>39</v>
      </c>
      <c r="Z1" s="2" t="s">
        <v>18</v>
      </c>
      <c r="AA1" s="1" t="s">
        <v>43</v>
      </c>
      <c r="AB1" s="2" t="s">
        <v>20</v>
      </c>
      <c r="AC1" s="1" t="s">
        <v>46</v>
      </c>
      <c r="AD1" s="2" t="s">
        <v>21</v>
      </c>
      <c r="AE1" s="1" t="s">
        <v>47</v>
      </c>
      <c r="AF1" s="2" t="s">
        <v>23</v>
      </c>
      <c r="AG1" s="1" t="s">
        <v>50</v>
      </c>
      <c r="AH1" s="2" t="s">
        <v>24</v>
      </c>
      <c r="AI1" s="1" t="s">
        <v>53</v>
      </c>
      <c r="AJ1" s="2" t="s">
        <v>27</v>
      </c>
      <c r="AK1" s="1" t="s">
        <v>54</v>
      </c>
      <c r="AL1" s="2" t="s">
        <v>29</v>
      </c>
      <c r="AM1" s="1" t="s">
        <v>56</v>
      </c>
      <c r="AN1" s="1" t="s">
        <v>31</v>
      </c>
    </row>
    <row r="2">
      <c r="A2" s="1" t="s">
        <v>32</v>
      </c>
      <c r="B2" s="1" t="s">
        <v>33</v>
      </c>
      <c r="C2" s="2" t="s">
        <v>35</v>
      </c>
      <c r="D2" s="1">
        <f t="shared" ref="D2:D189" si="1">VALUE(SUBSTITUTE(C2,".",","))</f>
        <v>29.82</v>
      </c>
      <c r="E2" s="2" t="s">
        <v>36</v>
      </c>
      <c r="F2" s="1">
        <f t="shared" ref="F2:F189" si="2">IF(E2 = "", "", VALUE(SUBSTITUTE(E2,".",",")))</f>
        <v>0.46</v>
      </c>
      <c r="G2" s="1" t="str">
        <f t="shared" ref="G2:G189" si="3">IFS(F2 = "", "Unknown", F2 &gt; 0.8, "Very High", F2 &gt;= 0.7, "High", F2 &gt;= 0.55, "Medium", True, "Low")</f>
        <v>Low</v>
      </c>
      <c r="H2" s="2" t="s">
        <v>37</v>
      </c>
      <c r="I2" s="1">
        <f t="shared" ref="I2:I189" si="4">IF(H2 = "", "", VALUE(SUBSTITUTE(SUBSTITUTE(SUBSTITUTE(H2, "$", ""),",", ""), ".", ",")))</f>
        <v>614.66</v>
      </c>
      <c r="J2" s="2" t="s">
        <v>38</v>
      </c>
      <c r="K2" s="1">
        <f t="shared" ref="K2:K189" si="5">IF(J2 = "", "", VALUE(SUBSTITUTE(J2,".",",")))</f>
        <v>0.3</v>
      </c>
      <c r="L2" s="2" t="s">
        <v>40</v>
      </c>
      <c r="M2" s="1">
        <f t="shared" ref="M2:M189" si="6">IF(L2 = "", "", VALUE(SUBSTITUTE(L2,".",",")))</f>
        <v>0.2</v>
      </c>
      <c r="N2" s="2" t="s">
        <v>41</v>
      </c>
      <c r="O2" s="1">
        <f t="shared" ref="O2:O189" si="7">IF(N2 = "", "", VALUE(SUBSTITUTE(N2,".",",")))</f>
        <v>0.08</v>
      </c>
      <c r="P2" s="2" t="s">
        <v>42</v>
      </c>
      <c r="Q2" s="1">
        <f t="shared" ref="Q2:Q189" si="8">IF(P2 = "", "", VALUE(SUBSTITUTE(P2,".",",")))</f>
        <v>0.18</v>
      </c>
      <c r="R2" s="2">
        <v>0.0</v>
      </c>
      <c r="S2" s="1">
        <f t="shared" ref="S2:S189" si="9">IF(R2 = "", "", VALUE(SUBSTITUTE(R2,".",",")))</f>
        <v>0</v>
      </c>
      <c r="T2" s="2" t="s">
        <v>44</v>
      </c>
      <c r="U2" s="1">
        <f t="shared" ref="U2:U189" si="10">VALUE(SUBSTITUTE(T2,".",","))</f>
        <v>0.79</v>
      </c>
      <c r="V2" s="2" t="s">
        <v>45</v>
      </c>
      <c r="W2" s="1">
        <f t="shared" ref="W2:W189" si="11">IF(V2 = "", "", VALUE(SUBSTITUTE(V2,".",",")))</f>
        <v>0.24</v>
      </c>
      <c r="X2" s="2" t="s">
        <v>40</v>
      </c>
      <c r="Y2" s="1">
        <f t="shared" ref="Y2:Y189" si="12">IF(X2 = "", "", VALUE(SUBSTITUTE(X2,".",",")))</f>
        <v>0.2</v>
      </c>
      <c r="Z2" s="2" t="s">
        <v>48</v>
      </c>
      <c r="AA2" s="1">
        <f t="shared" ref="AA2:AA189" si="13">IF(Z2 = "", "", VALUE(SUBSTITUTE(Z2,".",",")))</f>
        <v>0.02</v>
      </c>
      <c r="AB2" s="2">
        <v>0.0</v>
      </c>
      <c r="AC2" s="1">
        <f t="shared" ref="AC2:AC189" si="14">IF(AB2 = "", "", VALUE(SUBSTITUTE(AB2,".",",")))</f>
        <v>0</v>
      </c>
      <c r="AD2" s="2" t="s">
        <v>49</v>
      </c>
      <c r="AE2" s="1">
        <f t="shared" ref="AE2:AE189" si="15">IF(AD2 = "", "", VALUE(SUBSTITUTE(AD2,".",",")))</f>
        <v>0.04</v>
      </c>
      <c r="AF2" s="2" t="s">
        <v>51</v>
      </c>
      <c r="AG2" s="1">
        <f t="shared" ref="AG2:AG189" si="16">IF(AF2 = "", "", VALUE(SUBSTITUTE(AF2,".",",")))</f>
        <v>0.5</v>
      </c>
      <c r="AH2" s="2" t="s">
        <v>52</v>
      </c>
      <c r="AI2" s="1">
        <f t="shared" ref="AI2:AI189" si="17">IF(AH2 = "", "", VALUE(SUBSTITUTE(AH2,".",",")))</f>
        <v>-0.3</v>
      </c>
      <c r="AJ2" s="2" t="s">
        <v>36</v>
      </c>
      <c r="AK2" s="1">
        <f t="shared" ref="AK2:AK189" si="18">IF(AJ2 = "", "", VALUE(SUBSTITUTE(AJ2,".",",")))</f>
        <v>0.46</v>
      </c>
      <c r="AL2" s="5">
        <v>46028.0</v>
      </c>
      <c r="AM2" s="1">
        <f t="shared" ref="AM2:AM189" si="19">IF(AL2 = "", "", VALUE(SUBSTITUTE(AL2,".",",")))</f>
        <v>1.6</v>
      </c>
      <c r="AN2" s="1">
        <v>6.0</v>
      </c>
    </row>
    <row r="3">
      <c r="A3" s="1" t="s">
        <v>57</v>
      </c>
      <c r="B3" s="1" t="s">
        <v>58</v>
      </c>
      <c r="C3" s="5">
        <v>46097.0</v>
      </c>
      <c r="D3" s="1">
        <f t="shared" si="1"/>
        <v>3.16</v>
      </c>
      <c r="E3" s="2" t="s">
        <v>59</v>
      </c>
      <c r="F3" s="1">
        <f t="shared" si="2"/>
        <v>0.73</v>
      </c>
      <c r="G3" s="1" t="str">
        <f t="shared" si="3"/>
        <v>High</v>
      </c>
      <c r="H3" s="2" t="s">
        <v>60</v>
      </c>
      <c r="I3" s="1">
        <f t="shared" si="4"/>
        <v>4534.37</v>
      </c>
      <c r="J3" s="2" t="s">
        <v>61</v>
      </c>
      <c r="K3" s="1">
        <f t="shared" si="5"/>
        <v>0.78</v>
      </c>
      <c r="L3" s="2" t="s">
        <v>62</v>
      </c>
      <c r="M3" s="1">
        <f t="shared" si="6"/>
        <v>0.22</v>
      </c>
      <c r="N3" s="2" t="s">
        <v>63</v>
      </c>
      <c r="O3" s="1">
        <f t="shared" si="7"/>
        <v>0.25</v>
      </c>
      <c r="P3" s="2" t="s">
        <v>64</v>
      </c>
      <c r="Q3" s="1">
        <f t="shared" si="8"/>
        <v>0.87</v>
      </c>
      <c r="R3" s="2" t="s">
        <v>48</v>
      </c>
      <c r="S3" s="1">
        <f t="shared" si="9"/>
        <v>0.02</v>
      </c>
      <c r="T3" s="5">
        <v>46074.0</v>
      </c>
      <c r="U3" s="1">
        <f t="shared" si="10"/>
        <v>2.21</v>
      </c>
      <c r="V3" s="2" t="s">
        <v>65</v>
      </c>
      <c r="W3" s="1">
        <f t="shared" si="11"/>
        <v>0.55</v>
      </c>
      <c r="X3" s="2" t="s">
        <v>66</v>
      </c>
      <c r="Y3" s="1">
        <f t="shared" si="12"/>
        <v>0.21</v>
      </c>
      <c r="Z3" s="2" t="s">
        <v>67</v>
      </c>
      <c r="AA3" s="1">
        <f t="shared" si="13"/>
        <v>0.29</v>
      </c>
      <c r="AB3" s="2" t="s">
        <v>68</v>
      </c>
      <c r="AC3" s="1">
        <f t="shared" si="14"/>
        <v>0.07</v>
      </c>
      <c r="AD3" s="2" t="s">
        <v>69</v>
      </c>
      <c r="AE3" s="1">
        <f t="shared" si="15"/>
        <v>0.06</v>
      </c>
      <c r="AF3" s="5">
        <v>46040.0</v>
      </c>
      <c r="AG3" s="1">
        <f t="shared" si="16"/>
        <v>1.18</v>
      </c>
      <c r="AH3" s="2" t="s">
        <v>70</v>
      </c>
      <c r="AI3" s="1">
        <f t="shared" si="17"/>
        <v>-1.03</v>
      </c>
      <c r="AJ3" s="5">
        <v>46049.0</v>
      </c>
      <c r="AK3" s="1">
        <f t="shared" si="18"/>
        <v>1.27</v>
      </c>
      <c r="AL3" s="2" t="s">
        <v>71</v>
      </c>
      <c r="AM3" s="1">
        <f t="shared" si="19"/>
        <v>1.87</v>
      </c>
      <c r="AN3" s="1">
        <v>6.0</v>
      </c>
    </row>
    <row r="4">
      <c r="A4" s="1" t="s">
        <v>72</v>
      </c>
      <c r="B4" s="1" t="s">
        <v>73</v>
      </c>
      <c r="C4" s="2" t="s">
        <v>74</v>
      </c>
      <c r="D4" s="1">
        <f t="shared" si="1"/>
        <v>38.48</v>
      </c>
      <c r="E4" s="2" t="s">
        <v>59</v>
      </c>
      <c r="F4" s="1">
        <f t="shared" si="2"/>
        <v>0.73</v>
      </c>
      <c r="G4" s="1" t="str">
        <f t="shared" si="3"/>
        <v>High</v>
      </c>
      <c r="H4" s="2" t="s">
        <v>75</v>
      </c>
      <c r="I4" s="1">
        <f t="shared" si="4"/>
        <v>5430.57</v>
      </c>
      <c r="J4" s="2" t="s">
        <v>77</v>
      </c>
      <c r="K4" s="1">
        <f t="shared" si="5"/>
        <v>0.6</v>
      </c>
      <c r="L4" s="2" t="s">
        <v>78</v>
      </c>
      <c r="M4" s="1">
        <f t="shared" si="6"/>
        <v>0.16</v>
      </c>
      <c r="N4" s="2" t="s">
        <v>79</v>
      </c>
      <c r="O4" s="1">
        <f t="shared" si="7"/>
        <v>0.17</v>
      </c>
      <c r="P4" s="5">
        <v>46036.0</v>
      </c>
      <c r="Q4" s="1">
        <f t="shared" si="8"/>
        <v>1.14</v>
      </c>
      <c r="R4" s="2" t="s">
        <v>80</v>
      </c>
      <c r="S4" s="1">
        <f t="shared" si="9"/>
        <v>0.01</v>
      </c>
      <c r="T4" s="5">
        <v>46065.0</v>
      </c>
      <c r="U4" s="1">
        <f t="shared" si="10"/>
        <v>2.12</v>
      </c>
      <c r="V4" s="2" t="s">
        <v>45</v>
      </c>
      <c r="W4" s="1">
        <f t="shared" si="11"/>
        <v>0.24</v>
      </c>
      <c r="X4" s="2" t="s">
        <v>81</v>
      </c>
      <c r="Y4" s="1">
        <f t="shared" si="12"/>
        <v>0.27</v>
      </c>
      <c r="Z4" s="2" t="s">
        <v>82</v>
      </c>
      <c r="AA4" s="1">
        <f t="shared" si="13"/>
        <v>0.03</v>
      </c>
      <c r="AB4" s="2" t="s">
        <v>80</v>
      </c>
      <c r="AC4" s="1">
        <f t="shared" si="14"/>
        <v>0.01</v>
      </c>
      <c r="AD4" s="2" t="s">
        <v>82</v>
      </c>
      <c r="AE4" s="1">
        <f t="shared" si="15"/>
        <v>0.03</v>
      </c>
      <c r="AF4" s="2" t="s">
        <v>83</v>
      </c>
      <c r="AG4" s="1">
        <f t="shared" si="16"/>
        <v>0.59</v>
      </c>
      <c r="AH4" s="2" t="s">
        <v>84</v>
      </c>
      <c r="AI4" s="1">
        <f t="shared" si="17"/>
        <v>-1.53</v>
      </c>
      <c r="AJ4" s="5">
        <v>46044.0</v>
      </c>
      <c r="AK4" s="1">
        <f t="shared" si="18"/>
        <v>1.22</v>
      </c>
      <c r="AL4" s="2" t="s">
        <v>85</v>
      </c>
      <c r="AM4" s="1">
        <f t="shared" si="19"/>
        <v>3.61</v>
      </c>
      <c r="AN4" s="1">
        <v>5.0</v>
      </c>
    </row>
    <row r="5">
      <c r="A5" s="1" t="s">
        <v>86</v>
      </c>
      <c r="B5" s="1" t="s">
        <v>73</v>
      </c>
      <c r="C5" s="2" t="s">
        <v>87</v>
      </c>
      <c r="D5" s="1">
        <f t="shared" si="1"/>
        <v>20.82</v>
      </c>
      <c r="E5" s="2" t="s">
        <v>88</v>
      </c>
      <c r="F5" s="1">
        <f t="shared" si="2"/>
        <v>0.52</v>
      </c>
      <c r="G5" s="1" t="str">
        <f t="shared" si="3"/>
        <v>Low</v>
      </c>
      <c r="H5" s="2" t="s">
        <v>89</v>
      </c>
      <c r="I5" s="1">
        <f t="shared" si="4"/>
        <v>4665.91</v>
      </c>
      <c r="J5" s="2" t="s">
        <v>90</v>
      </c>
      <c r="K5" s="1">
        <f t="shared" si="5"/>
        <v>0.33</v>
      </c>
      <c r="L5" s="2" t="s">
        <v>91</v>
      </c>
      <c r="M5" s="1">
        <f t="shared" si="6"/>
        <v>0.15</v>
      </c>
      <c r="N5" s="2" t="s">
        <v>92</v>
      </c>
      <c r="O5" s="1">
        <f t="shared" si="7"/>
        <v>0.12</v>
      </c>
      <c r="P5" s="2" t="s">
        <v>40</v>
      </c>
      <c r="Q5" s="1">
        <f t="shared" si="8"/>
        <v>0.2</v>
      </c>
      <c r="R5" s="2" t="s">
        <v>93</v>
      </c>
      <c r="S5" s="1">
        <f t="shared" si="9"/>
        <v>0.09</v>
      </c>
      <c r="T5" s="2" t="s">
        <v>94</v>
      </c>
      <c r="U5" s="1">
        <f t="shared" si="10"/>
        <v>0.93</v>
      </c>
      <c r="V5" s="2" t="s">
        <v>40</v>
      </c>
      <c r="W5" s="1">
        <f t="shared" si="11"/>
        <v>0.2</v>
      </c>
      <c r="X5" s="2" t="s">
        <v>95</v>
      </c>
      <c r="Y5" s="1">
        <f t="shared" si="12"/>
        <v>1.42</v>
      </c>
      <c r="Z5" s="2" t="s">
        <v>96</v>
      </c>
      <c r="AA5" s="1">
        <f t="shared" si="13"/>
        <v>0.64</v>
      </c>
      <c r="AB5" s="2" t="s">
        <v>97</v>
      </c>
      <c r="AC5" s="1">
        <f t="shared" si="14"/>
        <v>0.26</v>
      </c>
      <c r="AD5" s="2" t="s">
        <v>49</v>
      </c>
      <c r="AE5" s="1">
        <f t="shared" si="15"/>
        <v>0.04</v>
      </c>
      <c r="AF5" s="2" t="s">
        <v>98</v>
      </c>
      <c r="AG5" s="1">
        <f t="shared" si="16"/>
        <v>2.55</v>
      </c>
      <c r="AH5" s="2" t="s">
        <v>99</v>
      </c>
      <c r="AI5" s="1">
        <f t="shared" si="17"/>
        <v>1.61</v>
      </c>
      <c r="AJ5" s="2" t="s">
        <v>100</v>
      </c>
      <c r="AK5" s="1">
        <f t="shared" si="18"/>
        <v>0.54</v>
      </c>
      <c r="AL5" s="2" t="s">
        <v>101</v>
      </c>
      <c r="AM5" s="1">
        <f t="shared" si="19"/>
        <v>0.37</v>
      </c>
      <c r="AN5" s="1">
        <v>6.0</v>
      </c>
    </row>
    <row r="6">
      <c r="A6" s="1" t="s">
        <v>102</v>
      </c>
      <c r="B6" s="1" t="s">
        <v>103</v>
      </c>
      <c r="C6" s="2" t="s">
        <v>93</v>
      </c>
      <c r="D6" s="1">
        <f t="shared" si="1"/>
        <v>0.09</v>
      </c>
      <c r="E6" s="2" t="s">
        <v>61</v>
      </c>
      <c r="F6" s="1">
        <f t="shared" si="2"/>
        <v>0.78</v>
      </c>
      <c r="G6" s="1" t="str">
        <f t="shared" si="3"/>
        <v>High</v>
      </c>
      <c r="H6" s="2" t="s">
        <v>104</v>
      </c>
      <c r="I6" s="1">
        <f t="shared" si="4"/>
        <v>13205.1</v>
      </c>
      <c r="K6" s="1" t="str">
        <f t="shared" si="5"/>
        <v/>
      </c>
      <c r="M6" s="1" t="str">
        <f t="shared" si="6"/>
        <v/>
      </c>
      <c r="O6" s="1" t="str">
        <f t="shared" si="7"/>
        <v/>
      </c>
      <c r="Q6" s="1" t="str">
        <f t="shared" si="8"/>
        <v/>
      </c>
      <c r="S6" s="1" t="str">
        <f t="shared" si="9"/>
        <v/>
      </c>
      <c r="T6" s="2" t="s">
        <v>105</v>
      </c>
      <c r="U6" s="1">
        <f t="shared" si="10"/>
        <v>5.38</v>
      </c>
      <c r="W6" s="1" t="str">
        <f t="shared" si="11"/>
        <v/>
      </c>
      <c r="Y6" s="1" t="str">
        <f t="shared" si="12"/>
        <v/>
      </c>
      <c r="AA6" s="1" t="str">
        <f t="shared" si="13"/>
        <v/>
      </c>
      <c r="AC6" s="1" t="str">
        <f t="shared" si="14"/>
        <v/>
      </c>
      <c r="AE6" s="1" t="str">
        <f t="shared" si="15"/>
        <v/>
      </c>
      <c r="AF6" s="2" t="s">
        <v>107</v>
      </c>
      <c r="AG6" s="1">
        <f t="shared" si="16"/>
        <v>0.94</v>
      </c>
      <c r="AH6" s="2" t="s">
        <v>108</v>
      </c>
      <c r="AI6" s="1">
        <f t="shared" si="17"/>
        <v>-4.44</v>
      </c>
      <c r="AJ6" s="5">
        <v>46092.0</v>
      </c>
      <c r="AK6" s="1">
        <f t="shared" si="18"/>
        <v>3.11</v>
      </c>
      <c r="AL6" s="5">
        <v>46149.0</v>
      </c>
      <c r="AM6" s="1">
        <f t="shared" si="19"/>
        <v>5.7</v>
      </c>
      <c r="AN6" s="1">
        <v>2.0</v>
      </c>
    </row>
    <row r="7">
      <c r="A7" s="1" t="s">
        <v>109</v>
      </c>
      <c r="B7" s="1" t="s">
        <v>103</v>
      </c>
      <c r="C7" s="2" t="s">
        <v>110</v>
      </c>
      <c r="D7" s="1">
        <f t="shared" si="1"/>
        <v>41.09</v>
      </c>
      <c r="E7" s="2" t="s">
        <v>111</v>
      </c>
      <c r="F7" s="1">
        <f t="shared" si="2"/>
        <v>0.83</v>
      </c>
      <c r="G7" s="1" t="str">
        <f t="shared" si="3"/>
        <v>Very High</v>
      </c>
      <c r="H7" s="2" t="s">
        <v>112</v>
      </c>
      <c r="I7" s="1">
        <f t="shared" si="4"/>
        <v>13540</v>
      </c>
      <c r="J7" s="2" t="s">
        <v>61</v>
      </c>
      <c r="K7" s="1">
        <f t="shared" si="5"/>
        <v>0.78</v>
      </c>
      <c r="L7" s="2" t="s">
        <v>44</v>
      </c>
      <c r="M7" s="1">
        <f t="shared" si="6"/>
        <v>0.79</v>
      </c>
      <c r="N7" s="2" t="s">
        <v>67</v>
      </c>
      <c r="O7" s="1">
        <f t="shared" si="7"/>
        <v>0.29</v>
      </c>
      <c r="P7" s="6">
        <v>46030.0</v>
      </c>
      <c r="Q7" s="1">
        <f t="shared" si="8"/>
        <v>1.08</v>
      </c>
      <c r="R7" s="2" t="s">
        <v>114</v>
      </c>
      <c r="S7" s="1">
        <f t="shared" si="9"/>
        <v>0.1</v>
      </c>
      <c r="T7" s="5">
        <v>46095.0</v>
      </c>
      <c r="U7" s="1">
        <f t="shared" si="10"/>
        <v>3.14</v>
      </c>
      <c r="V7" s="2" t="s">
        <v>116</v>
      </c>
      <c r="W7" s="1">
        <f t="shared" si="11"/>
        <v>2.64</v>
      </c>
      <c r="X7" s="2" t="s">
        <v>117</v>
      </c>
      <c r="Y7" s="1">
        <f t="shared" si="12"/>
        <v>1.86</v>
      </c>
      <c r="Z7" s="2" t="s">
        <v>118</v>
      </c>
      <c r="AA7" s="1">
        <f t="shared" si="13"/>
        <v>0.66</v>
      </c>
      <c r="AB7" s="2" t="s">
        <v>119</v>
      </c>
      <c r="AC7" s="1">
        <f t="shared" si="14"/>
        <v>1.67</v>
      </c>
      <c r="AD7" s="2" t="s">
        <v>114</v>
      </c>
      <c r="AE7" s="1">
        <f t="shared" si="15"/>
        <v>0.1</v>
      </c>
      <c r="AF7" s="2" t="s">
        <v>120</v>
      </c>
      <c r="AG7" s="1">
        <f t="shared" si="16"/>
        <v>6.92</v>
      </c>
      <c r="AH7" s="2" t="s">
        <v>121</v>
      </c>
      <c r="AI7" s="1">
        <f t="shared" si="17"/>
        <v>3.78</v>
      </c>
      <c r="AJ7" s="2" t="s">
        <v>122</v>
      </c>
      <c r="AK7" s="1">
        <f t="shared" si="18"/>
        <v>1.82</v>
      </c>
      <c r="AL7" s="2" t="s">
        <v>123</v>
      </c>
      <c r="AM7" s="1">
        <f t="shared" si="19"/>
        <v>0.45</v>
      </c>
      <c r="AN7" s="1">
        <v>6.0</v>
      </c>
    </row>
    <row r="8">
      <c r="A8" s="1" t="s">
        <v>115</v>
      </c>
      <c r="B8" s="1" t="s">
        <v>33</v>
      </c>
      <c r="C8" s="2" t="s">
        <v>125</v>
      </c>
      <c r="D8" s="1">
        <f t="shared" si="1"/>
        <v>2.97</v>
      </c>
      <c r="E8" s="2" t="s">
        <v>59</v>
      </c>
      <c r="F8" s="1">
        <f t="shared" si="2"/>
        <v>0.73</v>
      </c>
      <c r="G8" s="1" t="str">
        <f t="shared" si="3"/>
        <v>High</v>
      </c>
      <c r="H8" s="2" t="s">
        <v>127</v>
      </c>
      <c r="I8" s="1">
        <f t="shared" si="4"/>
        <v>3426.39</v>
      </c>
      <c r="J8" s="2" t="s">
        <v>128</v>
      </c>
      <c r="K8" s="1">
        <f t="shared" si="5"/>
        <v>0.74</v>
      </c>
      <c r="L8" s="2" t="s">
        <v>42</v>
      </c>
      <c r="M8" s="1">
        <f t="shared" si="6"/>
        <v>0.18</v>
      </c>
      <c r="N8" s="2" t="s">
        <v>130</v>
      </c>
      <c r="O8" s="1">
        <f t="shared" si="7"/>
        <v>0.34</v>
      </c>
      <c r="P8" s="2" t="s">
        <v>131</v>
      </c>
      <c r="Q8" s="1">
        <f t="shared" si="8"/>
        <v>0.89</v>
      </c>
      <c r="R8" s="2" t="s">
        <v>80</v>
      </c>
      <c r="S8" s="1">
        <f t="shared" si="9"/>
        <v>0.01</v>
      </c>
      <c r="T8" s="5">
        <v>46076.0</v>
      </c>
      <c r="U8" s="1">
        <f t="shared" si="10"/>
        <v>2.23</v>
      </c>
      <c r="V8" s="2" t="s">
        <v>132</v>
      </c>
      <c r="W8" s="1">
        <f t="shared" si="11"/>
        <v>0.44</v>
      </c>
      <c r="X8" s="2" t="s">
        <v>97</v>
      </c>
      <c r="Y8" s="1">
        <f t="shared" si="12"/>
        <v>0.26</v>
      </c>
      <c r="Z8" s="2" t="s">
        <v>114</v>
      </c>
      <c r="AA8" s="1">
        <f t="shared" si="13"/>
        <v>0.1</v>
      </c>
      <c r="AB8" s="2" t="s">
        <v>48</v>
      </c>
      <c r="AC8" s="1">
        <f t="shared" si="14"/>
        <v>0.02</v>
      </c>
      <c r="AD8" s="2" t="s">
        <v>68</v>
      </c>
      <c r="AE8" s="1">
        <f t="shared" si="15"/>
        <v>0.07</v>
      </c>
      <c r="AF8" s="2" t="s">
        <v>131</v>
      </c>
      <c r="AG8" s="1">
        <f t="shared" si="16"/>
        <v>0.89</v>
      </c>
      <c r="AH8" s="2" t="s">
        <v>135</v>
      </c>
      <c r="AI8" s="1">
        <f t="shared" si="17"/>
        <v>-1.35</v>
      </c>
      <c r="AJ8" s="5">
        <v>46051.0</v>
      </c>
      <c r="AK8" s="1">
        <f t="shared" si="18"/>
        <v>1.29</v>
      </c>
      <c r="AL8" s="2" t="s">
        <v>136</v>
      </c>
      <c r="AM8" s="1">
        <f t="shared" si="19"/>
        <v>2.52</v>
      </c>
      <c r="AN8" s="1" t="s">
        <v>124</v>
      </c>
    </row>
    <row r="9">
      <c r="A9" s="1" t="s">
        <v>126</v>
      </c>
      <c r="B9" s="1" t="s">
        <v>103</v>
      </c>
      <c r="C9" s="2" t="s">
        <v>114</v>
      </c>
      <c r="D9" s="1">
        <f t="shared" si="1"/>
        <v>0.1</v>
      </c>
      <c r="F9" s="1" t="str">
        <f t="shared" si="2"/>
        <v/>
      </c>
      <c r="G9" s="1" t="str">
        <f t="shared" si="3"/>
        <v>Unknown</v>
      </c>
      <c r="I9" s="1" t="str">
        <f t="shared" si="4"/>
        <v/>
      </c>
      <c r="K9" s="1" t="str">
        <f t="shared" si="5"/>
        <v/>
      </c>
      <c r="M9" s="1" t="str">
        <f t="shared" si="6"/>
        <v/>
      </c>
      <c r="O9" s="1" t="str">
        <f t="shared" si="7"/>
        <v/>
      </c>
      <c r="Q9" s="1" t="str">
        <f t="shared" si="8"/>
        <v/>
      </c>
      <c r="S9" s="1" t="str">
        <f t="shared" si="9"/>
        <v/>
      </c>
      <c r="T9" s="2" t="s">
        <v>137</v>
      </c>
      <c r="U9" s="1">
        <f t="shared" si="10"/>
        <v>11.88</v>
      </c>
      <c r="W9" s="1" t="str">
        <f t="shared" si="11"/>
        <v/>
      </c>
      <c r="Y9" s="1" t="str">
        <f t="shared" si="12"/>
        <v/>
      </c>
      <c r="AA9" s="1" t="str">
        <f t="shared" si="13"/>
        <v/>
      </c>
      <c r="AC9" s="1" t="str">
        <f t="shared" si="14"/>
        <v/>
      </c>
      <c r="AE9" s="1" t="str">
        <f t="shared" si="15"/>
        <v/>
      </c>
      <c r="AF9" s="2" t="s">
        <v>138</v>
      </c>
      <c r="AG9" s="1">
        <f t="shared" si="16"/>
        <v>0.57</v>
      </c>
      <c r="AH9" s="2" t="s">
        <v>139</v>
      </c>
      <c r="AI9" s="1">
        <f t="shared" si="17"/>
        <v>-11.31</v>
      </c>
      <c r="AJ9" s="2" t="s">
        <v>140</v>
      </c>
      <c r="AK9" s="1">
        <f t="shared" si="18"/>
        <v>6.86</v>
      </c>
      <c r="AL9" s="2" t="s">
        <v>141</v>
      </c>
      <c r="AM9" s="1">
        <f t="shared" si="19"/>
        <v>20.69</v>
      </c>
      <c r="AN9" s="1">
        <v>2.0</v>
      </c>
    </row>
    <row r="10">
      <c r="A10" s="1" t="s">
        <v>133</v>
      </c>
      <c r="B10" s="1" t="s">
        <v>134</v>
      </c>
      <c r="C10" s="2" t="s">
        <v>144</v>
      </c>
      <c r="D10" s="1">
        <f t="shared" si="1"/>
        <v>23.05</v>
      </c>
      <c r="E10" s="2" t="s">
        <v>94</v>
      </c>
      <c r="F10" s="1">
        <f t="shared" si="2"/>
        <v>0.93</v>
      </c>
      <c r="G10" s="1" t="str">
        <f t="shared" si="3"/>
        <v>Very High</v>
      </c>
      <c r="H10" s="2" t="s">
        <v>145</v>
      </c>
      <c r="I10" s="1">
        <f t="shared" si="4"/>
        <v>66604.2</v>
      </c>
      <c r="J10" s="2" t="s">
        <v>146</v>
      </c>
      <c r="K10" s="1">
        <f t="shared" si="5"/>
        <v>2.68</v>
      </c>
      <c r="L10" s="2" t="s">
        <v>147</v>
      </c>
      <c r="M10" s="1">
        <f t="shared" si="6"/>
        <v>0.63</v>
      </c>
      <c r="N10" s="2" t="s">
        <v>131</v>
      </c>
      <c r="O10" s="1">
        <f t="shared" si="7"/>
        <v>0.89</v>
      </c>
      <c r="P10" s="2" t="s">
        <v>148</v>
      </c>
      <c r="Q10" s="1">
        <f t="shared" si="8"/>
        <v>4.85</v>
      </c>
      <c r="R10" s="2" t="s">
        <v>149</v>
      </c>
      <c r="S10" s="1">
        <f t="shared" si="9"/>
        <v>0.11</v>
      </c>
      <c r="T10" s="2" t="s">
        <v>150</v>
      </c>
      <c r="U10" s="1">
        <f t="shared" si="10"/>
        <v>9.31</v>
      </c>
      <c r="V10" s="2" t="s">
        <v>151</v>
      </c>
      <c r="W10" s="1">
        <f t="shared" si="11"/>
        <v>5.42</v>
      </c>
      <c r="X10" s="2" t="s">
        <v>152</v>
      </c>
      <c r="Y10" s="1">
        <f t="shared" si="12"/>
        <v>5.81</v>
      </c>
      <c r="Z10" s="6">
        <v>46054.0</v>
      </c>
      <c r="AA10" s="1">
        <f t="shared" si="13"/>
        <v>2.01</v>
      </c>
      <c r="AB10" s="5">
        <v>46100.0</v>
      </c>
      <c r="AC10" s="1">
        <f t="shared" si="14"/>
        <v>3.19</v>
      </c>
      <c r="AD10" s="2" t="s">
        <v>154</v>
      </c>
      <c r="AE10" s="1">
        <f t="shared" si="15"/>
        <v>0.14</v>
      </c>
      <c r="AF10" s="2" t="s">
        <v>155</v>
      </c>
      <c r="AG10" s="1">
        <f t="shared" si="16"/>
        <v>16.57</v>
      </c>
      <c r="AH10" s="5">
        <v>46229.0</v>
      </c>
      <c r="AI10" s="1">
        <f t="shared" si="17"/>
        <v>7.26</v>
      </c>
      <c r="AJ10" s="2" t="s">
        <v>156</v>
      </c>
      <c r="AK10" s="1">
        <f t="shared" si="18"/>
        <v>5.37</v>
      </c>
      <c r="AL10" s="2" t="s">
        <v>157</v>
      </c>
      <c r="AM10" s="1">
        <f t="shared" si="19"/>
        <v>0.56</v>
      </c>
      <c r="AN10" s="1">
        <v>5.0</v>
      </c>
    </row>
    <row r="11">
      <c r="A11" s="1" t="s">
        <v>142</v>
      </c>
      <c r="B11" s="1" t="s">
        <v>143</v>
      </c>
      <c r="C11" s="2" t="s">
        <v>158</v>
      </c>
      <c r="D11" s="1">
        <f t="shared" si="1"/>
        <v>8.46</v>
      </c>
      <c r="E11" s="2" t="s">
        <v>159</v>
      </c>
      <c r="F11" s="1">
        <f t="shared" si="2"/>
        <v>0.88</v>
      </c>
      <c r="G11" s="1" t="str">
        <f t="shared" si="3"/>
        <v>Very High</v>
      </c>
      <c r="H11" s="2" t="s">
        <v>160</v>
      </c>
      <c r="I11" s="1">
        <f t="shared" si="4"/>
        <v>51274.1</v>
      </c>
      <c r="J11" s="2" t="s">
        <v>162</v>
      </c>
      <c r="K11" s="1">
        <f t="shared" si="5"/>
        <v>0.82</v>
      </c>
      <c r="L11" s="2" t="s">
        <v>81</v>
      </c>
      <c r="M11" s="1">
        <f t="shared" si="6"/>
        <v>0.27</v>
      </c>
      <c r="N11" s="2" t="s">
        <v>147</v>
      </c>
      <c r="O11" s="1">
        <f t="shared" si="7"/>
        <v>0.63</v>
      </c>
      <c r="P11" s="5">
        <v>46126.0</v>
      </c>
      <c r="Q11" s="1">
        <f t="shared" si="8"/>
        <v>4.14</v>
      </c>
      <c r="R11" s="2" t="s">
        <v>69</v>
      </c>
      <c r="S11" s="1">
        <f t="shared" si="9"/>
        <v>0.06</v>
      </c>
      <c r="T11" s="6">
        <v>46179.0</v>
      </c>
      <c r="U11" s="1">
        <f t="shared" si="10"/>
        <v>6.06</v>
      </c>
      <c r="V11" s="2" t="s">
        <v>163</v>
      </c>
      <c r="W11" s="1">
        <f t="shared" si="11"/>
        <v>0.71</v>
      </c>
      <c r="X11" s="2" t="s">
        <v>78</v>
      </c>
      <c r="Y11" s="1">
        <f t="shared" si="12"/>
        <v>0.16</v>
      </c>
      <c r="Z11" s="6">
        <v>46057.0</v>
      </c>
      <c r="AA11" s="1">
        <f t="shared" si="13"/>
        <v>2.04</v>
      </c>
      <c r="AB11" s="2">
        <v>0.0</v>
      </c>
      <c r="AC11" s="1">
        <f t="shared" si="14"/>
        <v>0</v>
      </c>
      <c r="AD11" s="2" t="s">
        <v>91</v>
      </c>
      <c r="AE11" s="1">
        <f t="shared" si="15"/>
        <v>0.15</v>
      </c>
      <c r="AF11" s="6">
        <v>46088.0</v>
      </c>
      <c r="AG11" s="1">
        <f t="shared" si="16"/>
        <v>3.07</v>
      </c>
      <c r="AH11" s="2">
        <v>-3.0</v>
      </c>
      <c r="AI11" s="1">
        <f t="shared" si="17"/>
        <v>-3</v>
      </c>
      <c r="AJ11" s="5">
        <v>46086.0</v>
      </c>
      <c r="AK11" s="1">
        <f t="shared" si="18"/>
        <v>3.5</v>
      </c>
      <c r="AL11" s="2" t="s">
        <v>166</v>
      </c>
      <c r="AM11" s="1">
        <f t="shared" si="19"/>
        <v>1.98</v>
      </c>
      <c r="AN11" s="1">
        <v>5.0</v>
      </c>
    </row>
    <row r="12">
      <c r="A12" s="1" t="s">
        <v>153</v>
      </c>
      <c r="B12" s="1" t="s">
        <v>33</v>
      </c>
      <c r="C12" s="2" t="s">
        <v>150</v>
      </c>
      <c r="D12" s="1">
        <f t="shared" si="1"/>
        <v>9.31</v>
      </c>
      <c r="E12" s="2" t="s">
        <v>167</v>
      </c>
      <c r="F12" s="1">
        <f t="shared" si="2"/>
        <v>0.75</v>
      </c>
      <c r="G12" s="1" t="str">
        <f t="shared" si="3"/>
        <v>High</v>
      </c>
      <c r="H12" s="2" t="s">
        <v>168</v>
      </c>
      <c r="I12" s="1">
        <f t="shared" si="4"/>
        <v>7106.04</v>
      </c>
      <c r="J12" s="2" t="s">
        <v>118</v>
      </c>
      <c r="K12" s="1">
        <f t="shared" si="5"/>
        <v>0.66</v>
      </c>
      <c r="L12" s="2" t="s">
        <v>62</v>
      </c>
      <c r="M12" s="1">
        <f t="shared" si="6"/>
        <v>0.22</v>
      </c>
      <c r="N12" s="2" t="s">
        <v>149</v>
      </c>
      <c r="O12" s="1">
        <f t="shared" si="7"/>
        <v>0.11</v>
      </c>
      <c r="P12" s="5">
        <v>46047.0</v>
      </c>
      <c r="Q12" s="1">
        <f t="shared" si="8"/>
        <v>1.25</v>
      </c>
      <c r="R12" s="2" t="s">
        <v>80</v>
      </c>
      <c r="S12" s="1">
        <f t="shared" si="9"/>
        <v>0.01</v>
      </c>
      <c r="T12" s="2" t="s">
        <v>169</v>
      </c>
      <c r="U12" s="1">
        <f t="shared" si="10"/>
        <v>2.31</v>
      </c>
      <c r="V12" s="2" t="s">
        <v>36</v>
      </c>
      <c r="W12" s="1">
        <f t="shared" si="11"/>
        <v>0.46</v>
      </c>
      <c r="X12" s="2" t="s">
        <v>40</v>
      </c>
      <c r="Y12" s="1">
        <f t="shared" si="12"/>
        <v>0.2</v>
      </c>
      <c r="Z12" s="2" t="s">
        <v>149</v>
      </c>
      <c r="AA12" s="1">
        <f t="shared" si="13"/>
        <v>0.11</v>
      </c>
      <c r="AB12" s="2" t="s">
        <v>48</v>
      </c>
      <c r="AC12" s="1">
        <f t="shared" si="14"/>
        <v>0.02</v>
      </c>
      <c r="AD12" s="2" t="s">
        <v>69</v>
      </c>
      <c r="AE12" s="1">
        <f t="shared" si="15"/>
        <v>0.06</v>
      </c>
      <c r="AF12" s="2" t="s">
        <v>170</v>
      </c>
      <c r="AG12" s="1">
        <f t="shared" si="16"/>
        <v>0.85</v>
      </c>
      <c r="AH12" s="2" t="s">
        <v>171</v>
      </c>
      <c r="AI12" s="1">
        <f t="shared" si="17"/>
        <v>-1.46</v>
      </c>
      <c r="AJ12" s="2" t="s">
        <v>172</v>
      </c>
      <c r="AK12" s="1">
        <f t="shared" si="18"/>
        <v>1.33</v>
      </c>
      <c r="AL12" s="2" t="s">
        <v>174</v>
      </c>
      <c r="AM12" s="1">
        <f t="shared" si="19"/>
        <v>2.72</v>
      </c>
      <c r="AN12" s="1">
        <v>6.0</v>
      </c>
    </row>
    <row r="13">
      <c r="A13" s="1" t="s">
        <v>161</v>
      </c>
      <c r="B13" s="1" t="s">
        <v>103</v>
      </c>
      <c r="C13" s="2" t="s">
        <v>101</v>
      </c>
      <c r="D13" s="1">
        <f t="shared" si="1"/>
        <v>0.37</v>
      </c>
      <c r="E13" s="2" t="s">
        <v>61</v>
      </c>
      <c r="F13" s="1">
        <f t="shared" si="2"/>
        <v>0.78</v>
      </c>
      <c r="G13" s="1" t="str">
        <f t="shared" si="3"/>
        <v>High</v>
      </c>
      <c r="H13" s="2" t="s">
        <v>176</v>
      </c>
      <c r="I13" s="1">
        <f t="shared" si="4"/>
        <v>22647.3</v>
      </c>
      <c r="J13" s="2" t="s">
        <v>177</v>
      </c>
      <c r="K13" s="1">
        <f t="shared" si="5"/>
        <v>0.97</v>
      </c>
      <c r="L13" s="6">
        <v>46027.0</v>
      </c>
      <c r="M13" s="1">
        <f t="shared" si="6"/>
        <v>1.05</v>
      </c>
      <c r="N13" s="2" t="s">
        <v>178</v>
      </c>
      <c r="O13" s="1">
        <f t="shared" si="7"/>
        <v>0.19</v>
      </c>
      <c r="P13" s="2" t="s">
        <v>179</v>
      </c>
      <c r="Q13" s="1">
        <f t="shared" si="8"/>
        <v>4.46</v>
      </c>
      <c r="R13" s="2" t="s">
        <v>154</v>
      </c>
      <c r="S13" s="1">
        <f t="shared" si="9"/>
        <v>0.14</v>
      </c>
      <c r="T13" s="2" t="s">
        <v>180</v>
      </c>
      <c r="U13" s="1">
        <f t="shared" si="10"/>
        <v>6.84</v>
      </c>
      <c r="V13" s="2" t="s">
        <v>181</v>
      </c>
      <c r="W13" s="1">
        <f t="shared" si="11"/>
        <v>0.05</v>
      </c>
      <c r="X13" s="2">
        <v>0.0</v>
      </c>
      <c r="Y13" s="1">
        <f t="shared" si="12"/>
        <v>0</v>
      </c>
      <c r="Z13" s="5">
        <v>46040.0</v>
      </c>
      <c r="AA13" s="1">
        <f t="shared" si="13"/>
        <v>1.18</v>
      </c>
      <c r="AB13" s="5">
        <v>46261.0</v>
      </c>
      <c r="AC13" s="1">
        <f t="shared" si="14"/>
        <v>8.27</v>
      </c>
      <c r="AD13" s="2" t="s">
        <v>49</v>
      </c>
      <c r="AE13" s="1">
        <f t="shared" si="15"/>
        <v>0.04</v>
      </c>
      <c r="AF13" s="2" t="s">
        <v>183</v>
      </c>
      <c r="AG13" s="1">
        <f t="shared" si="16"/>
        <v>9.55</v>
      </c>
      <c r="AH13" s="2" t="s">
        <v>184</v>
      </c>
      <c r="AI13" s="1">
        <f t="shared" si="17"/>
        <v>2.71</v>
      </c>
      <c r="AJ13" s="2" t="s">
        <v>185</v>
      </c>
      <c r="AK13" s="1">
        <f t="shared" si="18"/>
        <v>3.95</v>
      </c>
      <c r="AL13" s="2" t="s">
        <v>186</v>
      </c>
      <c r="AM13" s="1">
        <f t="shared" si="19"/>
        <v>0.72</v>
      </c>
      <c r="AN13" s="1" t="s">
        <v>164</v>
      </c>
    </row>
    <row r="14">
      <c r="A14" s="1" t="s">
        <v>165</v>
      </c>
      <c r="B14" s="1" t="s">
        <v>33</v>
      </c>
      <c r="C14" s="2" t="s">
        <v>187</v>
      </c>
      <c r="D14" s="1">
        <f t="shared" si="1"/>
        <v>1.32</v>
      </c>
      <c r="E14" s="2" t="s">
        <v>162</v>
      </c>
      <c r="F14" s="1">
        <f t="shared" si="2"/>
        <v>0.82</v>
      </c>
      <c r="G14" s="1" t="str">
        <f t="shared" si="3"/>
        <v>Very High</v>
      </c>
      <c r="H14" s="2" t="s">
        <v>188</v>
      </c>
      <c r="I14" s="1">
        <f t="shared" si="4"/>
        <v>24299</v>
      </c>
      <c r="J14" s="2" t="s">
        <v>88</v>
      </c>
      <c r="K14" s="1">
        <f t="shared" si="5"/>
        <v>0.52</v>
      </c>
      <c r="L14" s="2" t="s">
        <v>123</v>
      </c>
      <c r="M14" s="1">
        <f t="shared" si="6"/>
        <v>0.45</v>
      </c>
      <c r="N14" s="2" t="s">
        <v>78</v>
      </c>
      <c r="O14" s="1">
        <f t="shared" si="7"/>
        <v>0.16</v>
      </c>
      <c r="P14" s="5">
        <v>46192.0</v>
      </c>
      <c r="Q14" s="1">
        <f t="shared" si="8"/>
        <v>6.19</v>
      </c>
      <c r="R14" s="2" t="s">
        <v>68</v>
      </c>
      <c r="S14" s="1">
        <f t="shared" si="9"/>
        <v>0.07</v>
      </c>
      <c r="T14" s="2" t="s">
        <v>190</v>
      </c>
      <c r="U14" s="1">
        <f t="shared" si="10"/>
        <v>7.49</v>
      </c>
      <c r="V14" s="2" t="s">
        <v>80</v>
      </c>
      <c r="W14" s="1">
        <f t="shared" si="11"/>
        <v>0.01</v>
      </c>
      <c r="X14" s="2">
        <v>0.0</v>
      </c>
      <c r="Y14" s="1">
        <f t="shared" si="12"/>
        <v>0</v>
      </c>
      <c r="Z14" s="2">
        <v>0.0</v>
      </c>
      <c r="AA14" s="1">
        <f t="shared" si="13"/>
        <v>0</v>
      </c>
      <c r="AB14" s="2" t="s">
        <v>36</v>
      </c>
      <c r="AC14" s="1">
        <f t="shared" si="14"/>
        <v>0.46</v>
      </c>
      <c r="AD14" s="2" t="s">
        <v>114</v>
      </c>
      <c r="AE14" s="1">
        <f t="shared" si="15"/>
        <v>0.1</v>
      </c>
      <c r="AF14" s="2" t="s">
        <v>191</v>
      </c>
      <c r="AG14" s="1">
        <f t="shared" si="16"/>
        <v>0.58</v>
      </c>
      <c r="AH14" s="2" t="s">
        <v>192</v>
      </c>
      <c r="AI14" s="1">
        <f t="shared" si="17"/>
        <v>-6.91</v>
      </c>
      <c r="AJ14" s="2" t="s">
        <v>193</v>
      </c>
      <c r="AK14" s="1">
        <f t="shared" si="18"/>
        <v>4.33</v>
      </c>
      <c r="AL14" s="2" t="s">
        <v>195</v>
      </c>
      <c r="AM14" s="1">
        <f t="shared" si="19"/>
        <v>12.96</v>
      </c>
      <c r="AN14" s="1" t="s">
        <v>164</v>
      </c>
    </row>
    <row r="15">
      <c r="A15" s="1" t="s">
        <v>173</v>
      </c>
      <c r="B15" s="1" t="s">
        <v>134</v>
      </c>
      <c r="C15" s="2" t="s">
        <v>196</v>
      </c>
      <c r="D15" s="1">
        <f t="shared" si="1"/>
        <v>154.7</v>
      </c>
      <c r="E15" s="2" t="s">
        <v>157</v>
      </c>
      <c r="F15" s="1">
        <f t="shared" si="2"/>
        <v>0.56</v>
      </c>
      <c r="G15" s="1" t="str">
        <f t="shared" si="3"/>
        <v>Medium</v>
      </c>
      <c r="H15" s="2" t="s">
        <v>197</v>
      </c>
      <c r="I15" s="1">
        <f t="shared" si="4"/>
        <v>857.5</v>
      </c>
      <c r="J15" s="2" t="s">
        <v>67</v>
      </c>
      <c r="K15" s="1">
        <f t="shared" si="5"/>
        <v>0.29</v>
      </c>
      <c r="L15" s="2">
        <v>0.0</v>
      </c>
      <c r="M15" s="1">
        <f t="shared" si="6"/>
        <v>0</v>
      </c>
      <c r="N15" s="2" t="s">
        <v>41</v>
      </c>
      <c r="O15" s="1">
        <f t="shared" si="7"/>
        <v>0.08</v>
      </c>
      <c r="P15" s="2" t="s">
        <v>97</v>
      </c>
      <c r="Q15" s="1">
        <f t="shared" si="8"/>
        <v>0.26</v>
      </c>
      <c r="R15" s="2" t="s">
        <v>48</v>
      </c>
      <c r="S15" s="1">
        <f t="shared" si="9"/>
        <v>0.02</v>
      </c>
      <c r="T15" s="2" t="s">
        <v>186</v>
      </c>
      <c r="U15" s="1">
        <f t="shared" si="10"/>
        <v>0.72</v>
      </c>
      <c r="V15" s="2" t="s">
        <v>63</v>
      </c>
      <c r="W15" s="1">
        <f t="shared" si="11"/>
        <v>0.25</v>
      </c>
      <c r="X15" s="2">
        <v>0.0</v>
      </c>
      <c r="Y15" s="1">
        <f t="shared" si="12"/>
        <v>0</v>
      </c>
      <c r="Z15" s="2">
        <v>0.0</v>
      </c>
      <c r="AA15" s="1">
        <f t="shared" si="13"/>
        <v>0</v>
      </c>
      <c r="AB15" s="2" t="s">
        <v>181</v>
      </c>
      <c r="AC15" s="1">
        <f t="shared" si="14"/>
        <v>0.05</v>
      </c>
      <c r="AD15" s="2" t="s">
        <v>68</v>
      </c>
      <c r="AE15" s="1">
        <f t="shared" si="15"/>
        <v>0.07</v>
      </c>
      <c r="AF15" s="2" t="s">
        <v>199</v>
      </c>
      <c r="AG15" s="1">
        <f t="shared" si="16"/>
        <v>0.38</v>
      </c>
      <c r="AH15" s="2" t="s">
        <v>200</v>
      </c>
      <c r="AI15" s="1">
        <f t="shared" si="17"/>
        <v>-0.35</v>
      </c>
      <c r="AJ15" s="2" t="s">
        <v>201</v>
      </c>
      <c r="AK15" s="1">
        <f t="shared" si="18"/>
        <v>0.42</v>
      </c>
      <c r="AL15" s="2" t="s">
        <v>202</v>
      </c>
      <c r="AM15" s="1">
        <f t="shared" si="19"/>
        <v>1.92</v>
      </c>
      <c r="AN15" s="1">
        <v>6.0</v>
      </c>
    </row>
    <row r="16">
      <c r="A16" s="1" t="s">
        <v>182</v>
      </c>
      <c r="B16" s="1" t="s">
        <v>103</v>
      </c>
      <c r="C16" s="2" t="s">
        <v>203</v>
      </c>
      <c r="D16" s="1">
        <f t="shared" si="1"/>
        <v>0.28</v>
      </c>
      <c r="E16" s="2" t="s">
        <v>44</v>
      </c>
      <c r="F16" s="1">
        <f t="shared" si="2"/>
        <v>0.79</v>
      </c>
      <c r="G16" s="1" t="str">
        <f t="shared" si="3"/>
        <v>High</v>
      </c>
      <c r="H16" s="2" t="s">
        <v>206</v>
      </c>
      <c r="I16" s="1">
        <f t="shared" si="4"/>
        <v>15722.8</v>
      </c>
      <c r="J16" s="2" t="s">
        <v>157</v>
      </c>
      <c r="K16" s="1">
        <f t="shared" si="5"/>
        <v>0.56</v>
      </c>
      <c r="L16" s="2" t="s">
        <v>45</v>
      </c>
      <c r="M16" s="1">
        <f t="shared" si="6"/>
        <v>0.24</v>
      </c>
      <c r="N16" s="2" t="s">
        <v>154</v>
      </c>
      <c r="O16" s="1">
        <f t="shared" si="7"/>
        <v>0.14</v>
      </c>
      <c r="P16" s="5">
        <v>46109.0</v>
      </c>
      <c r="Q16" s="1">
        <f t="shared" si="8"/>
        <v>3.28</v>
      </c>
      <c r="R16" s="2" t="s">
        <v>62</v>
      </c>
      <c r="S16" s="1">
        <f t="shared" si="9"/>
        <v>0.22</v>
      </c>
      <c r="T16" s="2" t="s">
        <v>207</v>
      </c>
      <c r="U16" s="1">
        <f t="shared" si="10"/>
        <v>4.48</v>
      </c>
      <c r="V16" s="2" t="s">
        <v>41</v>
      </c>
      <c r="W16" s="1">
        <f t="shared" si="11"/>
        <v>0.08</v>
      </c>
      <c r="X16" s="2">
        <v>0.0</v>
      </c>
      <c r="Y16" s="1">
        <f t="shared" si="12"/>
        <v>0</v>
      </c>
      <c r="Z16" s="2" t="s">
        <v>48</v>
      </c>
      <c r="AA16" s="1">
        <f t="shared" si="13"/>
        <v>0.02</v>
      </c>
      <c r="AB16" s="2" t="s">
        <v>49</v>
      </c>
      <c r="AC16" s="1">
        <f t="shared" si="14"/>
        <v>0.04</v>
      </c>
      <c r="AD16" s="2" t="s">
        <v>49</v>
      </c>
      <c r="AE16" s="1">
        <f t="shared" si="15"/>
        <v>0.04</v>
      </c>
      <c r="AF16" s="2" t="s">
        <v>178</v>
      </c>
      <c r="AG16" s="1">
        <f t="shared" si="16"/>
        <v>0.19</v>
      </c>
      <c r="AH16" s="2" t="s">
        <v>208</v>
      </c>
      <c r="AI16" s="1">
        <f t="shared" si="17"/>
        <v>-4.29</v>
      </c>
      <c r="AJ16" s="2" t="s">
        <v>209</v>
      </c>
      <c r="AK16" s="1">
        <f t="shared" si="18"/>
        <v>2.58</v>
      </c>
      <c r="AL16" s="2" t="s">
        <v>211</v>
      </c>
      <c r="AM16" s="1">
        <f t="shared" si="19"/>
        <v>23.79</v>
      </c>
      <c r="AN16" s="1">
        <v>5.0</v>
      </c>
    </row>
    <row r="17">
      <c r="A17" s="1" t="s">
        <v>189</v>
      </c>
      <c r="B17" s="1" t="s">
        <v>58</v>
      </c>
      <c r="C17" s="5">
        <v>46269.0</v>
      </c>
      <c r="D17" s="1">
        <f t="shared" si="1"/>
        <v>9.4</v>
      </c>
      <c r="E17" s="2" t="s">
        <v>213</v>
      </c>
      <c r="F17" s="1">
        <f t="shared" si="2"/>
        <v>0.8</v>
      </c>
      <c r="G17" s="1" t="str">
        <f t="shared" si="3"/>
        <v>High</v>
      </c>
      <c r="H17" s="2" t="s">
        <v>214</v>
      </c>
      <c r="I17" s="1">
        <f t="shared" si="4"/>
        <v>6300.45</v>
      </c>
      <c r="J17" s="2" t="s">
        <v>187</v>
      </c>
      <c r="K17" s="1">
        <f t="shared" si="5"/>
        <v>1.32</v>
      </c>
      <c r="L17" s="2" t="s">
        <v>92</v>
      </c>
      <c r="M17" s="1">
        <f t="shared" si="6"/>
        <v>0.12</v>
      </c>
      <c r="N17" s="2" t="s">
        <v>215</v>
      </c>
      <c r="O17" s="1">
        <f t="shared" si="7"/>
        <v>0.91</v>
      </c>
      <c r="P17" s="2" t="s">
        <v>216</v>
      </c>
      <c r="Q17" s="1">
        <f t="shared" si="8"/>
        <v>2.57</v>
      </c>
      <c r="R17" s="2" t="s">
        <v>41</v>
      </c>
      <c r="S17" s="1">
        <f t="shared" si="9"/>
        <v>0.08</v>
      </c>
      <c r="T17" s="6">
        <v>46151.0</v>
      </c>
      <c r="U17" s="1">
        <f t="shared" si="10"/>
        <v>5.09</v>
      </c>
      <c r="V17" s="2" t="s">
        <v>217</v>
      </c>
      <c r="W17" s="1">
        <f t="shared" si="11"/>
        <v>1.52</v>
      </c>
      <c r="X17" s="2" t="s">
        <v>38</v>
      </c>
      <c r="Y17" s="1">
        <f t="shared" si="12"/>
        <v>0.3</v>
      </c>
      <c r="Z17" s="2" t="s">
        <v>218</v>
      </c>
      <c r="AA17" s="1">
        <f t="shared" si="13"/>
        <v>1.71</v>
      </c>
      <c r="AB17" s="2" t="s">
        <v>48</v>
      </c>
      <c r="AC17" s="1">
        <f t="shared" si="14"/>
        <v>0.02</v>
      </c>
      <c r="AD17" s="2" t="s">
        <v>93</v>
      </c>
      <c r="AE17" s="1">
        <f t="shared" si="15"/>
        <v>0.09</v>
      </c>
      <c r="AF17" s="2" t="s">
        <v>220</v>
      </c>
      <c r="AG17" s="1">
        <f t="shared" si="16"/>
        <v>3.64</v>
      </c>
      <c r="AH17" s="2" t="s">
        <v>221</v>
      </c>
      <c r="AI17" s="1">
        <f t="shared" si="17"/>
        <v>-1.45</v>
      </c>
      <c r="AJ17" s="2" t="s">
        <v>222</v>
      </c>
      <c r="AK17" s="1">
        <f t="shared" si="18"/>
        <v>2.94</v>
      </c>
      <c r="AL17" s="5">
        <v>46026.0</v>
      </c>
      <c r="AM17" s="1">
        <f t="shared" si="19"/>
        <v>1.4</v>
      </c>
      <c r="AN17" s="1">
        <v>6.0</v>
      </c>
    </row>
    <row r="18">
      <c r="A18" s="1" t="s">
        <v>194</v>
      </c>
      <c r="B18" s="1" t="s">
        <v>143</v>
      </c>
      <c r="C18" s="6">
        <v>46332.0</v>
      </c>
      <c r="D18" s="1">
        <f t="shared" si="1"/>
        <v>11.06</v>
      </c>
      <c r="E18" s="2" t="s">
        <v>131</v>
      </c>
      <c r="F18" s="1">
        <f t="shared" si="2"/>
        <v>0.89</v>
      </c>
      <c r="G18" s="1" t="str">
        <f t="shared" si="3"/>
        <v>Very High</v>
      </c>
      <c r="H18" s="2" t="s">
        <v>223</v>
      </c>
      <c r="I18" s="1">
        <f t="shared" si="4"/>
        <v>48053.3</v>
      </c>
      <c r="J18" s="5">
        <v>46037.0</v>
      </c>
      <c r="K18" s="1">
        <f t="shared" si="5"/>
        <v>1.15</v>
      </c>
      <c r="L18" s="2" t="s">
        <v>224</v>
      </c>
      <c r="M18" s="1">
        <f t="shared" si="6"/>
        <v>0.48</v>
      </c>
      <c r="N18" s="2" t="s">
        <v>225</v>
      </c>
      <c r="O18" s="1">
        <f t="shared" si="7"/>
        <v>0.99</v>
      </c>
      <c r="P18" s="2" t="s">
        <v>226</v>
      </c>
      <c r="Q18" s="1">
        <f t="shared" si="8"/>
        <v>4.43</v>
      </c>
      <c r="R18" s="2" t="s">
        <v>92</v>
      </c>
      <c r="S18" s="1">
        <f t="shared" si="9"/>
        <v>0.12</v>
      </c>
      <c r="T18" s="2" t="s">
        <v>228</v>
      </c>
      <c r="U18" s="1">
        <f t="shared" si="10"/>
        <v>7.44</v>
      </c>
      <c r="V18" s="2" t="s">
        <v>157</v>
      </c>
      <c r="W18" s="1">
        <f t="shared" si="11"/>
        <v>0.56</v>
      </c>
      <c r="X18" s="2" t="s">
        <v>82</v>
      </c>
      <c r="Y18" s="1">
        <f t="shared" si="12"/>
        <v>0.03</v>
      </c>
      <c r="Z18" s="2" t="s">
        <v>203</v>
      </c>
      <c r="AA18" s="1">
        <f t="shared" si="13"/>
        <v>0.28</v>
      </c>
      <c r="AB18" s="2" t="s">
        <v>49</v>
      </c>
      <c r="AC18" s="1">
        <f t="shared" si="14"/>
        <v>0.04</v>
      </c>
      <c r="AD18" s="2" t="s">
        <v>81</v>
      </c>
      <c r="AE18" s="1">
        <f t="shared" si="15"/>
        <v>0.27</v>
      </c>
      <c r="AF18" s="5">
        <v>46041.0</v>
      </c>
      <c r="AG18" s="1">
        <f t="shared" si="16"/>
        <v>1.19</v>
      </c>
      <c r="AH18" s="2" t="s">
        <v>229</v>
      </c>
      <c r="AI18" s="1">
        <f t="shared" si="17"/>
        <v>-6.25</v>
      </c>
      <c r="AJ18" s="5">
        <v>46115.0</v>
      </c>
      <c r="AK18" s="1">
        <f t="shared" si="18"/>
        <v>4.3</v>
      </c>
      <c r="AL18" s="5">
        <v>46200.0</v>
      </c>
      <c r="AM18" s="1">
        <f t="shared" si="19"/>
        <v>6.27</v>
      </c>
      <c r="AN18" s="1">
        <v>6.0</v>
      </c>
    </row>
    <row r="19">
      <c r="A19" s="1" t="s">
        <v>198</v>
      </c>
      <c r="B19" s="1" t="s">
        <v>73</v>
      </c>
      <c r="C19" s="6">
        <v>46300.0</v>
      </c>
      <c r="D19" s="1">
        <f t="shared" si="1"/>
        <v>10.05</v>
      </c>
      <c r="E19" s="2" t="s">
        <v>224</v>
      </c>
      <c r="F19" s="1">
        <f t="shared" si="2"/>
        <v>0.48</v>
      </c>
      <c r="G19" s="1" t="str">
        <f t="shared" si="3"/>
        <v>Low</v>
      </c>
      <c r="H19" s="2" t="s">
        <v>230</v>
      </c>
      <c r="I19" s="1">
        <f t="shared" si="4"/>
        <v>746.83</v>
      </c>
      <c r="J19" s="2" t="s">
        <v>231</v>
      </c>
      <c r="K19" s="1">
        <f t="shared" si="5"/>
        <v>0.49</v>
      </c>
      <c r="L19" s="2" t="s">
        <v>49</v>
      </c>
      <c r="M19" s="1">
        <f t="shared" si="6"/>
        <v>0.04</v>
      </c>
      <c r="N19" s="2" t="s">
        <v>97</v>
      </c>
      <c r="O19" s="1">
        <f t="shared" si="7"/>
        <v>0.26</v>
      </c>
      <c r="P19" s="2" t="s">
        <v>233</v>
      </c>
      <c r="Q19" s="1">
        <f t="shared" si="8"/>
        <v>0.51</v>
      </c>
      <c r="R19" s="2" t="s">
        <v>41</v>
      </c>
      <c r="S19" s="1">
        <f t="shared" si="9"/>
        <v>0.08</v>
      </c>
      <c r="T19" s="2" t="s">
        <v>234</v>
      </c>
      <c r="U19" s="1">
        <f t="shared" si="10"/>
        <v>1.41</v>
      </c>
      <c r="V19" s="2" t="s">
        <v>132</v>
      </c>
      <c r="W19" s="1">
        <f t="shared" si="11"/>
        <v>0.44</v>
      </c>
      <c r="X19" s="2" t="s">
        <v>49</v>
      </c>
      <c r="Y19" s="1">
        <f t="shared" si="12"/>
        <v>0.04</v>
      </c>
      <c r="Z19" s="2" t="s">
        <v>130</v>
      </c>
      <c r="AA19" s="1">
        <f t="shared" si="13"/>
        <v>0.34</v>
      </c>
      <c r="AB19" s="2" t="s">
        <v>48</v>
      </c>
      <c r="AC19" s="1">
        <f t="shared" si="14"/>
        <v>0.02</v>
      </c>
      <c r="AD19" s="2" t="s">
        <v>49</v>
      </c>
      <c r="AE19" s="1">
        <f t="shared" si="15"/>
        <v>0.04</v>
      </c>
      <c r="AF19" s="2" t="s">
        <v>159</v>
      </c>
      <c r="AG19" s="1">
        <f t="shared" si="16"/>
        <v>0.88</v>
      </c>
      <c r="AH19" s="2" t="s">
        <v>235</v>
      </c>
      <c r="AI19" s="1">
        <f t="shared" si="17"/>
        <v>-0.53</v>
      </c>
      <c r="AJ19" s="2" t="s">
        <v>236</v>
      </c>
      <c r="AK19" s="1">
        <f t="shared" si="18"/>
        <v>0.81</v>
      </c>
      <c r="AL19" s="2" t="s">
        <v>99</v>
      </c>
      <c r="AM19" s="1">
        <f t="shared" si="19"/>
        <v>1.61</v>
      </c>
      <c r="AN19" s="1">
        <v>6.0</v>
      </c>
    </row>
    <row r="20">
      <c r="A20" s="1" t="s">
        <v>204</v>
      </c>
      <c r="B20" s="1" t="s">
        <v>205</v>
      </c>
      <c r="C20" s="2" t="s">
        <v>69</v>
      </c>
      <c r="D20" s="1">
        <f t="shared" si="1"/>
        <v>0.06</v>
      </c>
      <c r="F20" s="1" t="str">
        <f t="shared" si="2"/>
        <v/>
      </c>
      <c r="G20" s="1" t="str">
        <f t="shared" si="3"/>
        <v>Unknown</v>
      </c>
      <c r="H20" s="2" t="s">
        <v>238</v>
      </c>
      <c r="I20" s="1">
        <f t="shared" si="4"/>
        <v>70626.3</v>
      </c>
      <c r="K20" s="1" t="str">
        <f t="shared" si="5"/>
        <v/>
      </c>
      <c r="M20" s="1" t="str">
        <f t="shared" si="6"/>
        <v/>
      </c>
      <c r="O20" s="1" t="str">
        <f t="shared" si="7"/>
        <v/>
      </c>
      <c r="Q20" s="1" t="str">
        <f t="shared" si="8"/>
        <v/>
      </c>
      <c r="S20" s="1" t="str">
        <f t="shared" si="9"/>
        <v/>
      </c>
      <c r="T20" s="2" t="s">
        <v>239</v>
      </c>
      <c r="U20" s="1">
        <f t="shared" si="10"/>
        <v>5.77</v>
      </c>
      <c r="W20" s="1" t="str">
        <f t="shared" si="11"/>
        <v/>
      </c>
      <c r="Y20" s="1" t="str">
        <f t="shared" si="12"/>
        <v/>
      </c>
      <c r="AA20" s="1" t="str">
        <f t="shared" si="13"/>
        <v/>
      </c>
      <c r="AC20" s="1" t="str">
        <f t="shared" si="14"/>
        <v/>
      </c>
      <c r="AE20" s="1" t="str">
        <f t="shared" si="15"/>
        <v/>
      </c>
      <c r="AF20" s="2" t="s">
        <v>240</v>
      </c>
      <c r="AG20" s="1">
        <f t="shared" si="16"/>
        <v>0.13</v>
      </c>
      <c r="AH20" s="2" t="s">
        <v>241</v>
      </c>
      <c r="AI20" s="1">
        <f t="shared" si="17"/>
        <v>-5.64</v>
      </c>
      <c r="AJ20" s="2" t="s">
        <v>242</v>
      </c>
      <c r="AK20" s="1">
        <f t="shared" si="18"/>
        <v>3.33</v>
      </c>
      <c r="AL20" s="2" t="s">
        <v>243</v>
      </c>
      <c r="AM20" s="1">
        <f t="shared" si="19"/>
        <v>44.05</v>
      </c>
      <c r="AN20" s="1" t="s">
        <v>210</v>
      </c>
    </row>
    <row r="21">
      <c r="A21" s="1" t="s">
        <v>212</v>
      </c>
      <c r="B21" s="1" t="s">
        <v>134</v>
      </c>
      <c r="C21" s="2" t="s">
        <v>128</v>
      </c>
      <c r="D21" s="1">
        <f t="shared" si="1"/>
        <v>0.74</v>
      </c>
      <c r="E21" s="2" t="s">
        <v>83</v>
      </c>
      <c r="F21" s="1">
        <f t="shared" si="2"/>
        <v>0.59</v>
      </c>
      <c r="G21" s="1" t="str">
        <f t="shared" si="3"/>
        <v>Medium</v>
      </c>
      <c r="H21" s="2" t="s">
        <v>245</v>
      </c>
      <c r="I21" s="1">
        <f t="shared" si="4"/>
        <v>2395</v>
      </c>
      <c r="J21" s="2" t="s">
        <v>51</v>
      </c>
      <c r="K21" s="1">
        <f t="shared" si="5"/>
        <v>0.5</v>
      </c>
      <c r="L21" s="2" t="s">
        <v>201</v>
      </c>
      <c r="M21" s="1">
        <f t="shared" si="6"/>
        <v>0.42</v>
      </c>
      <c r="N21" s="6">
        <v>46084.0</v>
      </c>
      <c r="O21" s="1">
        <f t="shared" si="7"/>
        <v>3.03</v>
      </c>
      <c r="P21" s="2" t="s">
        <v>147</v>
      </c>
      <c r="Q21" s="1">
        <f t="shared" si="8"/>
        <v>0.63</v>
      </c>
      <c r="R21" s="2" t="s">
        <v>48</v>
      </c>
      <c r="S21" s="1">
        <f t="shared" si="9"/>
        <v>0.02</v>
      </c>
      <c r="T21" s="2" t="s">
        <v>246</v>
      </c>
      <c r="U21" s="1">
        <f t="shared" si="10"/>
        <v>4.84</v>
      </c>
      <c r="V21" s="2" t="s">
        <v>203</v>
      </c>
      <c r="W21" s="1">
        <f t="shared" si="11"/>
        <v>0.28</v>
      </c>
      <c r="X21" s="2" t="s">
        <v>130</v>
      </c>
      <c r="Y21" s="1">
        <f t="shared" si="12"/>
        <v>0.34</v>
      </c>
      <c r="Z21" s="2" t="s">
        <v>247</v>
      </c>
      <c r="AA21" s="1">
        <f t="shared" si="13"/>
        <v>4.38</v>
      </c>
      <c r="AB21" s="2" t="s">
        <v>80</v>
      </c>
      <c r="AC21" s="1">
        <f t="shared" si="14"/>
        <v>0.01</v>
      </c>
      <c r="AD21" s="2" t="s">
        <v>63</v>
      </c>
      <c r="AE21" s="1">
        <f t="shared" si="15"/>
        <v>0.25</v>
      </c>
      <c r="AF21" s="5">
        <v>46169.0</v>
      </c>
      <c r="AG21" s="1">
        <f t="shared" si="16"/>
        <v>5.27</v>
      </c>
      <c r="AH21" s="2" t="s">
        <v>248</v>
      </c>
      <c r="AI21" s="1">
        <f t="shared" si="17"/>
        <v>0.43</v>
      </c>
      <c r="AJ21" s="5">
        <v>46061.0</v>
      </c>
      <c r="AK21" s="1">
        <f t="shared" si="18"/>
        <v>2.8</v>
      </c>
      <c r="AL21" s="2" t="s">
        <v>249</v>
      </c>
      <c r="AM21" s="1">
        <f t="shared" si="19"/>
        <v>0.92</v>
      </c>
      <c r="AN21" s="1" t="s">
        <v>124</v>
      </c>
    </row>
    <row r="22">
      <c r="A22" s="1" t="s">
        <v>219</v>
      </c>
      <c r="B22" s="1" t="s">
        <v>103</v>
      </c>
      <c r="C22" s="5">
        <v>46300.0</v>
      </c>
      <c r="D22" s="1">
        <f t="shared" si="1"/>
        <v>10.5</v>
      </c>
      <c r="E22" s="2" t="s">
        <v>250</v>
      </c>
      <c r="F22" s="1">
        <f t="shared" si="2"/>
        <v>0.65</v>
      </c>
      <c r="G22" s="1" t="str">
        <f t="shared" si="3"/>
        <v>Medium</v>
      </c>
      <c r="H22" s="2" t="s">
        <v>251</v>
      </c>
      <c r="I22" s="1">
        <f t="shared" si="4"/>
        <v>2253.09</v>
      </c>
      <c r="J22" s="2" t="s">
        <v>101</v>
      </c>
      <c r="K22" s="1">
        <f t="shared" si="5"/>
        <v>0.37</v>
      </c>
      <c r="L22" s="2" t="s">
        <v>252</v>
      </c>
      <c r="M22" s="1">
        <f t="shared" si="6"/>
        <v>1.69</v>
      </c>
      <c r="N22" s="2" t="s">
        <v>79</v>
      </c>
      <c r="O22" s="1">
        <f t="shared" si="7"/>
        <v>0.17</v>
      </c>
      <c r="P22" s="2" t="s">
        <v>254</v>
      </c>
      <c r="Q22" s="1">
        <f t="shared" si="8"/>
        <v>0.67</v>
      </c>
      <c r="R22" s="2" t="s">
        <v>80</v>
      </c>
      <c r="S22" s="1">
        <f t="shared" si="9"/>
        <v>0.01</v>
      </c>
      <c r="T22" s="2" t="s">
        <v>255</v>
      </c>
      <c r="U22" s="1">
        <f t="shared" si="10"/>
        <v>2.96</v>
      </c>
      <c r="V22" s="2" t="s">
        <v>83</v>
      </c>
      <c r="W22" s="1">
        <f t="shared" si="11"/>
        <v>0.59</v>
      </c>
      <c r="X22" s="5">
        <v>46071.0</v>
      </c>
      <c r="Y22" s="1">
        <f t="shared" si="12"/>
        <v>2.18</v>
      </c>
      <c r="Z22" s="2" t="s">
        <v>256</v>
      </c>
      <c r="AA22" s="1">
        <f t="shared" si="13"/>
        <v>13.86</v>
      </c>
      <c r="AB22" s="2" t="s">
        <v>181</v>
      </c>
      <c r="AC22" s="1">
        <f t="shared" si="14"/>
        <v>0.05</v>
      </c>
      <c r="AD22" s="2" t="s">
        <v>69</v>
      </c>
      <c r="AE22" s="1">
        <f t="shared" si="15"/>
        <v>0.06</v>
      </c>
      <c r="AF22" s="2" t="s">
        <v>257</v>
      </c>
      <c r="AG22" s="1">
        <f t="shared" si="16"/>
        <v>16.73</v>
      </c>
      <c r="AH22" s="2" t="s">
        <v>258</v>
      </c>
      <c r="AI22" s="1">
        <f t="shared" si="17"/>
        <v>13.77</v>
      </c>
      <c r="AJ22" s="2" t="s">
        <v>218</v>
      </c>
      <c r="AK22" s="1">
        <f t="shared" si="18"/>
        <v>1.71</v>
      </c>
      <c r="AL22" s="2" t="s">
        <v>42</v>
      </c>
      <c r="AM22" s="1">
        <f t="shared" si="19"/>
        <v>0.18</v>
      </c>
      <c r="AN22" s="1">
        <v>5.0</v>
      </c>
    </row>
    <row r="23">
      <c r="A23" s="1" t="s">
        <v>227</v>
      </c>
      <c r="B23" s="1" t="s">
        <v>58</v>
      </c>
      <c r="C23" s="2" t="s">
        <v>260</v>
      </c>
      <c r="D23" s="1">
        <f t="shared" si="1"/>
        <v>3.83</v>
      </c>
      <c r="E23" s="2" t="s">
        <v>59</v>
      </c>
      <c r="F23" s="1">
        <f t="shared" si="2"/>
        <v>0.73</v>
      </c>
      <c r="G23" s="1" t="str">
        <f t="shared" si="3"/>
        <v>High</v>
      </c>
      <c r="H23" s="2" t="s">
        <v>261</v>
      </c>
      <c r="I23" s="1">
        <f t="shared" si="4"/>
        <v>4708.85</v>
      </c>
      <c r="J23" s="2" t="s">
        <v>147</v>
      </c>
      <c r="K23" s="1">
        <f t="shared" si="5"/>
        <v>0.63</v>
      </c>
      <c r="L23" s="2" t="s">
        <v>81</v>
      </c>
      <c r="M23" s="1">
        <f t="shared" si="6"/>
        <v>0.27</v>
      </c>
      <c r="N23" s="2" t="s">
        <v>132</v>
      </c>
      <c r="O23" s="1">
        <f t="shared" si="7"/>
        <v>0.44</v>
      </c>
      <c r="P23" s="2" t="s">
        <v>262</v>
      </c>
      <c r="Q23" s="1">
        <f t="shared" si="8"/>
        <v>1.74</v>
      </c>
      <c r="R23" s="2" t="s">
        <v>48</v>
      </c>
      <c r="S23" s="1">
        <f t="shared" si="9"/>
        <v>0.02</v>
      </c>
      <c r="T23" s="5">
        <v>46093.0</v>
      </c>
      <c r="U23" s="1">
        <f t="shared" si="10"/>
        <v>3.12</v>
      </c>
      <c r="V23" s="2" t="s">
        <v>38</v>
      </c>
      <c r="W23" s="1">
        <f t="shared" si="11"/>
        <v>0.3</v>
      </c>
      <c r="X23" s="2" t="s">
        <v>178</v>
      </c>
      <c r="Y23" s="1">
        <f t="shared" si="12"/>
        <v>0.19</v>
      </c>
      <c r="Z23" s="5">
        <v>46035.0</v>
      </c>
      <c r="AA23" s="1">
        <f t="shared" si="13"/>
        <v>1.13</v>
      </c>
      <c r="AB23" s="2">
        <v>0.0</v>
      </c>
      <c r="AC23" s="1">
        <f t="shared" si="14"/>
        <v>0</v>
      </c>
      <c r="AD23" s="2" t="s">
        <v>48</v>
      </c>
      <c r="AE23" s="1">
        <f t="shared" si="15"/>
        <v>0.02</v>
      </c>
      <c r="AF23" s="2" t="s">
        <v>263</v>
      </c>
      <c r="AG23" s="1">
        <f t="shared" si="16"/>
        <v>1.63</v>
      </c>
      <c r="AH23" s="2" t="s">
        <v>265</v>
      </c>
      <c r="AI23" s="1">
        <f t="shared" si="17"/>
        <v>-1.49</v>
      </c>
      <c r="AJ23" s="5">
        <v>46030.0</v>
      </c>
      <c r="AK23" s="1">
        <f t="shared" si="18"/>
        <v>1.8</v>
      </c>
      <c r="AL23" s="2" t="s">
        <v>266</v>
      </c>
      <c r="AM23" s="1">
        <f t="shared" si="19"/>
        <v>1.91</v>
      </c>
      <c r="AN23" s="1">
        <v>5.0</v>
      </c>
    </row>
    <row r="24">
      <c r="A24" s="1" t="s">
        <v>232</v>
      </c>
      <c r="B24" s="1" t="s">
        <v>73</v>
      </c>
      <c r="C24" s="2">
        <v>2.0</v>
      </c>
      <c r="D24" s="1">
        <f t="shared" si="1"/>
        <v>2</v>
      </c>
      <c r="E24" s="2" t="s">
        <v>267</v>
      </c>
      <c r="F24" s="1">
        <f t="shared" si="2"/>
        <v>0.69</v>
      </c>
      <c r="G24" s="1" t="str">
        <f t="shared" si="3"/>
        <v>Medium</v>
      </c>
      <c r="H24" s="2" t="s">
        <v>268</v>
      </c>
      <c r="I24" s="1">
        <f t="shared" si="4"/>
        <v>7743.5</v>
      </c>
      <c r="J24" s="2" t="s">
        <v>38</v>
      </c>
      <c r="K24" s="1">
        <f t="shared" si="5"/>
        <v>0.3</v>
      </c>
      <c r="L24" s="2" t="s">
        <v>131</v>
      </c>
      <c r="M24" s="1">
        <f t="shared" si="6"/>
        <v>0.89</v>
      </c>
      <c r="N24" s="2" t="s">
        <v>45</v>
      </c>
      <c r="O24" s="1">
        <f t="shared" si="7"/>
        <v>0.24</v>
      </c>
      <c r="P24" s="2" t="s">
        <v>269</v>
      </c>
      <c r="Q24" s="1">
        <f t="shared" si="8"/>
        <v>2.36</v>
      </c>
      <c r="R24" s="2" t="s">
        <v>80</v>
      </c>
      <c r="S24" s="1">
        <f t="shared" si="9"/>
        <v>0.01</v>
      </c>
      <c r="T24" s="2" t="s">
        <v>260</v>
      </c>
      <c r="U24" s="1">
        <f t="shared" si="10"/>
        <v>3.83</v>
      </c>
      <c r="V24" s="2" t="s">
        <v>69</v>
      </c>
      <c r="W24" s="1">
        <f t="shared" si="11"/>
        <v>0.06</v>
      </c>
      <c r="X24" s="2" t="s">
        <v>271</v>
      </c>
      <c r="Y24" s="1">
        <f t="shared" si="12"/>
        <v>2.49</v>
      </c>
      <c r="Z24" s="2" t="s">
        <v>147</v>
      </c>
      <c r="AA24" s="1">
        <f t="shared" si="13"/>
        <v>0.63</v>
      </c>
      <c r="AB24" s="2" t="s">
        <v>81</v>
      </c>
      <c r="AC24" s="1">
        <f t="shared" si="14"/>
        <v>0.27</v>
      </c>
      <c r="AD24" s="2" t="s">
        <v>48</v>
      </c>
      <c r="AE24" s="1">
        <f t="shared" si="15"/>
        <v>0.02</v>
      </c>
      <c r="AF24" s="2" t="s">
        <v>272</v>
      </c>
      <c r="AG24" s="1">
        <f t="shared" si="16"/>
        <v>3.47</v>
      </c>
      <c r="AH24" s="2" t="s">
        <v>200</v>
      </c>
      <c r="AI24" s="1">
        <f t="shared" si="17"/>
        <v>-0.35</v>
      </c>
      <c r="AJ24" s="5">
        <v>46074.0</v>
      </c>
      <c r="AK24" s="1">
        <f t="shared" si="18"/>
        <v>2.21</v>
      </c>
      <c r="AL24" s="5">
        <v>46023.0</v>
      </c>
      <c r="AM24" s="1">
        <f t="shared" si="19"/>
        <v>1.1</v>
      </c>
      <c r="AN24" s="1" t="s">
        <v>124</v>
      </c>
    </row>
    <row r="25">
      <c r="A25" s="1" t="s">
        <v>237</v>
      </c>
      <c r="B25" s="1" t="s">
        <v>103</v>
      </c>
      <c r="C25" s="2" t="s">
        <v>273</v>
      </c>
      <c r="D25" s="1">
        <f t="shared" si="1"/>
        <v>198.66</v>
      </c>
      <c r="E25" s="2" t="s">
        <v>167</v>
      </c>
      <c r="F25" s="1">
        <f t="shared" si="2"/>
        <v>0.75</v>
      </c>
      <c r="G25" s="1" t="str">
        <f t="shared" si="3"/>
        <v>High</v>
      </c>
      <c r="H25" s="2" t="s">
        <v>274</v>
      </c>
      <c r="I25" s="1">
        <f t="shared" si="4"/>
        <v>13237.6</v>
      </c>
      <c r="J25" s="2" t="s">
        <v>275</v>
      </c>
      <c r="K25" s="1">
        <f t="shared" si="5"/>
        <v>0.62</v>
      </c>
      <c r="L25" s="2" t="s">
        <v>170</v>
      </c>
      <c r="M25" s="1">
        <f t="shared" si="6"/>
        <v>0.85</v>
      </c>
      <c r="N25" s="2" t="s">
        <v>77</v>
      </c>
      <c r="O25" s="1">
        <f t="shared" si="7"/>
        <v>0.6</v>
      </c>
      <c r="P25" s="2" t="s">
        <v>215</v>
      </c>
      <c r="Q25" s="1">
        <f t="shared" si="8"/>
        <v>0.91</v>
      </c>
      <c r="R25" s="2" t="s">
        <v>49</v>
      </c>
      <c r="S25" s="1">
        <f t="shared" si="9"/>
        <v>0.04</v>
      </c>
      <c r="T25" s="5">
        <v>46092.0</v>
      </c>
      <c r="U25" s="1">
        <f t="shared" si="10"/>
        <v>3.11</v>
      </c>
      <c r="V25" s="2">
        <v>1.0</v>
      </c>
      <c r="W25" s="1">
        <f t="shared" si="11"/>
        <v>1</v>
      </c>
      <c r="X25" s="2">
        <v>1.0</v>
      </c>
      <c r="Y25" s="1">
        <f t="shared" si="12"/>
        <v>1</v>
      </c>
      <c r="Z25" s="2" t="s">
        <v>277</v>
      </c>
      <c r="AA25" s="1">
        <f t="shared" si="13"/>
        <v>6.82</v>
      </c>
      <c r="AB25" s="2" t="s">
        <v>79</v>
      </c>
      <c r="AC25" s="1">
        <f t="shared" si="14"/>
        <v>0.17</v>
      </c>
      <c r="AD25" s="2" t="s">
        <v>93</v>
      </c>
      <c r="AE25" s="1">
        <f t="shared" si="15"/>
        <v>0.09</v>
      </c>
      <c r="AF25" s="6">
        <v>46273.0</v>
      </c>
      <c r="AG25" s="1">
        <f t="shared" si="16"/>
        <v>9.08</v>
      </c>
      <c r="AH25" s="2" t="s">
        <v>278</v>
      </c>
      <c r="AI25" s="1">
        <f t="shared" si="17"/>
        <v>5.97</v>
      </c>
      <c r="AJ25" s="5">
        <v>46030.0</v>
      </c>
      <c r="AK25" s="1">
        <f t="shared" si="18"/>
        <v>1.8</v>
      </c>
      <c r="AL25" s="2" t="s">
        <v>130</v>
      </c>
      <c r="AM25" s="1">
        <f t="shared" si="19"/>
        <v>0.34</v>
      </c>
      <c r="AN25" s="1">
        <v>5.0</v>
      </c>
    </row>
    <row r="26">
      <c r="A26" s="1" t="s">
        <v>244</v>
      </c>
      <c r="B26" s="1" t="s">
        <v>103</v>
      </c>
      <c r="C26" s="2" t="s">
        <v>82</v>
      </c>
      <c r="D26" s="1">
        <f t="shared" si="1"/>
        <v>0.03</v>
      </c>
      <c r="F26" s="1" t="str">
        <f t="shared" si="2"/>
        <v/>
      </c>
      <c r="G26" s="1" t="str">
        <f t="shared" si="3"/>
        <v>Unknown</v>
      </c>
      <c r="I26" s="1" t="str">
        <f t="shared" si="4"/>
        <v/>
      </c>
      <c r="K26" s="1" t="str">
        <f t="shared" si="5"/>
        <v/>
      </c>
      <c r="M26" s="1" t="str">
        <f t="shared" si="6"/>
        <v/>
      </c>
      <c r="O26" s="1" t="str">
        <f t="shared" si="7"/>
        <v/>
      </c>
      <c r="Q26" s="1" t="str">
        <f t="shared" si="8"/>
        <v/>
      </c>
      <c r="S26" s="1" t="str">
        <f t="shared" si="9"/>
        <v/>
      </c>
      <c r="T26" s="2" t="s">
        <v>280</v>
      </c>
      <c r="U26" s="1">
        <f t="shared" si="10"/>
        <v>2.86</v>
      </c>
      <c r="W26" s="1" t="str">
        <f t="shared" si="11"/>
        <v/>
      </c>
      <c r="Y26" s="1" t="str">
        <f t="shared" si="12"/>
        <v/>
      </c>
      <c r="AA26" s="1" t="str">
        <f t="shared" si="13"/>
        <v/>
      </c>
      <c r="AC26" s="1" t="str">
        <f t="shared" si="14"/>
        <v/>
      </c>
      <c r="AE26" s="1" t="str">
        <f t="shared" si="15"/>
        <v/>
      </c>
      <c r="AF26" s="6">
        <v>46058.0</v>
      </c>
      <c r="AG26" s="1">
        <f t="shared" si="16"/>
        <v>2.05</v>
      </c>
      <c r="AH26" s="2" t="s">
        <v>281</v>
      </c>
      <c r="AI26" s="1">
        <f t="shared" si="17"/>
        <v>-0.81</v>
      </c>
      <c r="AJ26" s="2" t="s">
        <v>282</v>
      </c>
      <c r="AK26" s="1">
        <f t="shared" si="18"/>
        <v>1.65</v>
      </c>
      <c r="AL26" s="5">
        <v>46026.0</v>
      </c>
      <c r="AM26" s="1">
        <f t="shared" si="19"/>
        <v>1.4</v>
      </c>
      <c r="AN26" s="1" t="s">
        <v>210</v>
      </c>
    </row>
    <row r="27">
      <c r="A27" s="1" t="s">
        <v>253</v>
      </c>
      <c r="B27" s="1" t="s">
        <v>134</v>
      </c>
      <c r="C27" s="2" t="s">
        <v>283</v>
      </c>
      <c r="D27" s="1">
        <f t="shared" si="1"/>
        <v>0.41</v>
      </c>
      <c r="E27" s="2" t="s">
        <v>170</v>
      </c>
      <c r="F27" s="1">
        <f t="shared" si="2"/>
        <v>0.85</v>
      </c>
      <c r="G27" s="1" t="str">
        <f t="shared" si="3"/>
        <v>Very High</v>
      </c>
      <c r="H27" s="2" t="s">
        <v>284</v>
      </c>
      <c r="I27" s="1">
        <f t="shared" si="4"/>
        <v>47097.4</v>
      </c>
      <c r="J27" s="2" t="s">
        <v>285</v>
      </c>
      <c r="K27" s="1">
        <f t="shared" si="5"/>
        <v>0.31</v>
      </c>
      <c r="L27" s="2" t="s">
        <v>240</v>
      </c>
      <c r="M27" s="1">
        <f t="shared" si="6"/>
        <v>0.13</v>
      </c>
      <c r="N27" s="2" t="s">
        <v>97</v>
      </c>
      <c r="O27" s="1">
        <f t="shared" si="7"/>
        <v>0.26</v>
      </c>
      <c r="P27" s="5">
        <v>46105.0</v>
      </c>
      <c r="Q27" s="1">
        <f t="shared" si="8"/>
        <v>3.24</v>
      </c>
      <c r="R27" s="2" t="s">
        <v>93</v>
      </c>
      <c r="S27" s="1">
        <f t="shared" si="9"/>
        <v>0.09</v>
      </c>
      <c r="T27" s="6">
        <v>46118.0</v>
      </c>
      <c r="U27" s="1">
        <f t="shared" si="10"/>
        <v>4.06</v>
      </c>
      <c r="V27" s="2" t="s">
        <v>48</v>
      </c>
      <c r="W27" s="1">
        <f t="shared" si="11"/>
        <v>0.02</v>
      </c>
      <c r="X27" s="2" t="s">
        <v>80</v>
      </c>
      <c r="Y27" s="1">
        <f t="shared" si="12"/>
        <v>0.01</v>
      </c>
      <c r="Z27" s="2" t="s">
        <v>287</v>
      </c>
      <c r="AA27" s="1">
        <f t="shared" si="13"/>
        <v>1.57</v>
      </c>
      <c r="AB27" s="5">
        <v>46046.0</v>
      </c>
      <c r="AC27" s="1">
        <f t="shared" si="14"/>
        <v>1.24</v>
      </c>
      <c r="AD27" s="2" t="s">
        <v>82</v>
      </c>
      <c r="AE27" s="1">
        <f t="shared" si="15"/>
        <v>0.03</v>
      </c>
      <c r="AF27" s="2" t="s">
        <v>288</v>
      </c>
      <c r="AG27" s="1">
        <f t="shared" si="16"/>
        <v>2.87</v>
      </c>
      <c r="AH27" s="2" t="s">
        <v>289</v>
      </c>
      <c r="AI27" s="1">
        <f t="shared" si="17"/>
        <v>-1.19</v>
      </c>
      <c r="AJ27" s="2" t="s">
        <v>290</v>
      </c>
      <c r="AK27" s="1">
        <f t="shared" si="18"/>
        <v>2.34</v>
      </c>
      <c r="AL27" s="2" t="s">
        <v>234</v>
      </c>
      <c r="AM27" s="1">
        <f t="shared" si="19"/>
        <v>1.41</v>
      </c>
      <c r="AN27" s="1" t="s">
        <v>164</v>
      </c>
    </row>
    <row r="28">
      <c r="A28" s="1" t="s">
        <v>259</v>
      </c>
      <c r="B28" s="1" t="s">
        <v>143</v>
      </c>
      <c r="C28" s="5">
        <v>46231.0</v>
      </c>
      <c r="D28" s="1">
        <f t="shared" si="1"/>
        <v>7.28</v>
      </c>
      <c r="E28" s="2" t="s">
        <v>61</v>
      </c>
      <c r="F28" s="1">
        <f t="shared" si="2"/>
        <v>0.78</v>
      </c>
      <c r="G28" s="1" t="str">
        <f t="shared" si="3"/>
        <v>High</v>
      </c>
      <c r="H28" s="2" t="s">
        <v>292</v>
      </c>
      <c r="I28" s="1">
        <f t="shared" si="4"/>
        <v>7615.28</v>
      </c>
      <c r="J28" s="2" t="s">
        <v>77</v>
      </c>
      <c r="K28" s="1">
        <f t="shared" si="5"/>
        <v>0.6</v>
      </c>
      <c r="L28" s="2" t="s">
        <v>240</v>
      </c>
      <c r="M28" s="1">
        <f t="shared" si="6"/>
        <v>0.13</v>
      </c>
      <c r="N28" s="2" t="s">
        <v>293</v>
      </c>
      <c r="O28" s="1">
        <f t="shared" si="7"/>
        <v>0.35</v>
      </c>
      <c r="P28" s="6">
        <v>46061.0</v>
      </c>
      <c r="Q28" s="1">
        <f t="shared" si="8"/>
        <v>2.08</v>
      </c>
      <c r="R28" s="2" t="s">
        <v>82</v>
      </c>
      <c r="S28" s="1">
        <f t="shared" si="9"/>
        <v>0.03</v>
      </c>
      <c r="T28" s="2" t="s">
        <v>294</v>
      </c>
      <c r="U28" s="1">
        <f t="shared" si="10"/>
        <v>3.32</v>
      </c>
      <c r="V28" s="2" t="s">
        <v>172</v>
      </c>
      <c r="W28" s="1">
        <f t="shared" si="11"/>
        <v>1.33</v>
      </c>
      <c r="X28" s="2" t="s">
        <v>41</v>
      </c>
      <c r="Y28" s="1">
        <f t="shared" si="12"/>
        <v>0.08</v>
      </c>
      <c r="Z28" s="5">
        <v>46024.0</v>
      </c>
      <c r="AA28" s="1">
        <f t="shared" si="13"/>
        <v>1.2</v>
      </c>
      <c r="AB28" s="2" t="s">
        <v>92</v>
      </c>
      <c r="AC28" s="1">
        <f t="shared" si="14"/>
        <v>0.12</v>
      </c>
      <c r="AD28" s="2" t="s">
        <v>240</v>
      </c>
      <c r="AE28" s="1">
        <f t="shared" si="15"/>
        <v>0.13</v>
      </c>
      <c r="AF28" s="2" t="s">
        <v>280</v>
      </c>
      <c r="AG28" s="1">
        <f t="shared" si="16"/>
        <v>2.86</v>
      </c>
      <c r="AH28" s="2" t="s">
        <v>296</v>
      </c>
      <c r="AI28" s="1">
        <f t="shared" si="17"/>
        <v>-0.46</v>
      </c>
      <c r="AJ28" s="2" t="s">
        <v>202</v>
      </c>
      <c r="AK28" s="1">
        <f t="shared" si="18"/>
        <v>1.92</v>
      </c>
      <c r="AL28" s="5">
        <v>46038.0</v>
      </c>
      <c r="AM28" s="1">
        <f t="shared" si="19"/>
        <v>1.16</v>
      </c>
      <c r="AN28" s="1">
        <v>5.0</v>
      </c>
    </row>
    <row r="29">
      <c r="A29" s="1" t="s">
        <v>264</v>
      </c>
      <c r="B29" s="1" t="s">
        <v>73</v>
      </c>
      <c r="C29" s="2" t="s">
        <v>297</v>
      </c>
      <c r="D29" s="1">
        <f t="shared" si="1"/>
        <v>16.46</v>
      </c>
      <c r="E29" s="2" t="s">
        <v>298</v>
      </c>
      <c r="F29" s="1">
        <f t="shared" si="2"/>
        <v>0.39</v>
      </c>
      <c r="G29" s="1" t="str">
        <f t="shared" si="3"/>
        <v>Low</v>
      </c>
      <c r="H29" s="2" t="s">
        <v>299</v>
      </c>
      <c r="I29" s="1">
        <f t="shared" si="4"/>
        <v>671.07</v>
      </c>
      <c r="J29" s="2" t="s">
        <v>300</v>
      </c>
      <c r="K29" s="1">
        <f t="shared" si="5"/>
        <v>0.47</v>
      </c>
      <c r="L29" s="2" t="s">
        <v>79</v>
      </c>
      <c r="M29" s="1">
        <f t="shared" si="6"/>
        <v>0.17</v>
      </c>
      <c r="N29" s="2" t="s">
        <v>302</v>
      </c>
      <c r="O29" s="1">
        <f t="shared" si="7"/>
        <v>0.36</v>
      </c>
      <c r="P29" s="2" t="s">
        <v>92</v>
      </c>
      <c r="Q29" s="1">
        <f t="shared" si="8"/>
        <v>0.12</v>
      </c>
      <c r="R29" s="2" t="s">
        <v>82</v>
      </c>
      <c r="S29" s="1">
        <f t="shared" si="9"/>
        <v>0.03</v>
      </c>
      <c r="T29" s="5">
        <v>46043.0</v>
      </c>
      <c r="U29" s="1">
        <f t="shared" si="10"/>
        <v>1.21</v>
      </c>
      <c r="V29" s="2" t="s">
        <v>51</v>
      </c>
      <c r="W29" s="1">
        <f t="shared" si="11"/>
        <v>0.5</v>
      </c>
      <c r="X29" s="2" t="s">
        <v>79</v>
      </c>
      <c r="Y29" s="1">
        <f t="shared" si="12"/>
        <v>0.17</v>
      </c>
      <c r="Z29" s="2" t="s">
        <v>63</v>
      </c>
      <c r="AA29" s="1">
        <f t="shared" si="13"/>
        <v>0.25</v>
      </c>
      <c r="AB29" s="2">
        <v>0.0</v>
      </c>
      <c r="AC29" s="1">
        <f t="shared" si="14"/>
        <v>0</v>
      </c>
      <c r="AD29" s="2" t="s">
        <v>181</v>
      </c>
      <c r="AE29" s="1">
        <f t="shared" si="15"/>
        <v>0.05</v>
      </c>
      <c r="AF29" s="2" t="s">
        <v>303</v>
      </c>
      <c r="AG29" s="1">
        <f t="shared" si="16"/>
        <v>0.98</v>
      </c>
      <c r="AH29" s="2" t="s">
        <v>304</v>
      </c>
      <c r="AI29" s="1">
        <f t="shared" si="17"/>
        <v>-0.22</v>
      </c>
      <c r="AJ29" s="2" t="s">
        <v>305</v>
      </c>
      <c r="AK29" s="1">
        <f t="shared" si="18"/>
        <v>0.7</v>
      </c>
      <c r="AL29" s="5">
        <v>46045.0</v>
      </c>
      <c r="AM29" s="1">
        <f t="shared" si="19"/>
        <v>1.23</v>
      </c>
      <c r="AN29" s="1">
        <v>5.0</v>
      </c>
    </row>
    <row r="30">
      <c r="A30" s="1" t="s">
        <v>270</v>
      </c>
      <c r="B30" s="1" t="s">
        <v>73</v>
      </c>
      <c r="C30" s="2" t="s">
        <v>307</v>
      </c>
      <c r="D30" s="1">
        <f t="shared" si="1"/>
        <v>9.85</v>
      </c>
      <c r="E30" s="2" t="s">
        <v>298</v>
      </c>
      <c r="F30" s="1">
        <f t="shared" si="2"/>
        <v>0.39</v>
      </c>
      <c r="G30" s="1" t="str">
        <f t="shared" si="3"/>
        <v>Low</v>
      </c>
      <c r="H30" s="2" t="s">
        <v>308</v>
      </c>
      <c r="I30" s="1">
        <f t="shared" si="4"/>
        <v>276.69</v>
      </c>
      <c r="J30" s="2" t="s">
        <v>66</v>
      </c>
      <c r="K30" s="1">
        <f t="shared" si="5"/>
        <v>0.21</v>
      </c>
      <c r="L30" s="2" t="s">
        <v>68</v>
      </c>
      <c r="M30" s="1">
        <f t="shared" si="6"/>
        <v>0.07</v>
      </c>
      <c r="N30" s="2" t="s">
        <v>123</v>
      </c>
      <c r="O30" s="1">
        <f t="shared" si="7"/>
        <v>0.45</v>
      </c>
      <c r="P30" s="2" t="s">
        <v>49</v>
      </c>
      <c r="Q30" s="1">
        <f t="shared" si="8"/>
        <v>0.04</v>
      </c>
      <c r="R30" s="2">
        <v>0.0</v>
      </c>
      <c r="S30" s="1">
        <f t="shared" si="9"/>
        <v>0</v>
      </c>
      <c r="T30" s="2" t="s">
        <v>213</v>
      </c>
      <c r="U30" s="1">
        <f t="shared" si="10"/>
        <v>0.8</v>
      </c>
      <c r="V30" s="2" t="s">
        <v>40</v>
      </c>
      <c r="W30" s="1">
        <f t="shared" si="11"/>
        <v>0.2</v>
      </c>
      <c r="X30" s="2" t="s">
        <v>68</v>
      </c>
      <c r="Y30" s="1">
        <f t="shared" si="12"/>
        <v>0.07</v>
      </c>
      <c r="Z30" s="2" t="s">
        <v>80</v>
      </c>
      <c r="AA30" s="1">
        <f t="shared" si="13"/>
        <v>0.01</v>
      </c>
      <c r="AB30" s="2" t="s">
        <v>80</v>
      </c>
      <c r="AC30" s="1">
        <f t="shared" si="14"/>
        <v>0.01</v>
      </c>
      <c r="AD30" s="2" t="s">
        <v>82</v>
      </c>
      <c r="AE30" s="1">
        <f t="shared" si="15"/>
        <v>0.03</v>
      </c>
      <c r="AF30" s="2" t="s">
        <v>310</v>
      </c>
      <c r="AG30" s="1">
        <f t="shared" si="16"/>
        <v>0.32</v>
      </c>
      <c r="AH30" s="2" t="s">
        <v>311</v>
      </c>
      <c r="AI30" s="1">
        <f t="shared" si="17"/>
        <v>-0.48</v>
      </c>
      <c r="AJ30" s="2" t="s">
        <v>36</v>
      </c>
      <c r="AK30" s="1">
        <f t="shared" si="18"/>
        <v>0.46</v>
      </c>
      <c r="AL30" s="2" t="s">
        <v>312</v>
      </c>
      <c r="AM30" s="1">
        <f t="shared" si="19"/>
        <v>2.48</v>
      </c>
      <c r="AN30" s="1">
        <v>4.0</v>
      </c>
    </row>
    <row r="31">
      <c r="A31" s="1" t="s">
        <v>276</v>
      </c>
      <c r="B31" s="1" t="s">
        <v>73</v>
      </c>
      <c r="C31" s="2" t="s">
        <v>231</v>
      </c>
      <c r="D31" s="1">
        <f t="shared" si="1"/>
        <v>0.49</v>
      </c>
      <c r="E31" s="2" t="s">
        <v>96</v>
      </c>
      <c r="F31" s="1">
        <f t="shared" si="2"/>
        <v>0.64</v>
      </c>
      <c r="G31" s="1" t="str">
        <f t="shared" si="3"/>
        <v>Medium</v>
      </c>
      <c r="H31" s="2" t="s">
        <v>314</v>
      </c>
      <c r="I31" s="1">
        <f t="shared" si="4"/>
        <v>3801.45</v>
      </c>
      <c r="K31" s="1" t="str">
        <f t="shared" si="5"/>
        <v/>
      </c>
      <c r="M31" s="1" t="str">
        <f t="shared" si="6"/>
        <v/>
      </c>
      <c r="O31" s="1" t="str">
        <f t="shared" si="7"/>
        <v/>
      </c>
      <c r="Q31" s="1" t="str">
        <f t="shared" si="8"/>
        <v/>
      </c>
      <c r="S31" s="1" t="str">
        <f t="shared" si="9"/>
        <v/>
      </c>
      <c r="T31" s="2" t="s">
        <v>136</v>
      </c>
      <c r="U31" s="1">
        <f t="shared" si="10"/>
        <v>2.52</v>
      </c>
      <c r="W31" s="1" t="str">
        <f t="shared" si="11"/>
        <v/>
      </c>
      <c r="Y31" s="1" t="str">
        <f t="shared" si="12"/>
        <v/>
      </c>
      <c r="AA31" s="1" t="str">
        <f t="shared" si="13"/>
        <v/>
      </c>
      <c r="AC31" s="1" t="str">
        <f t="shared" si="14"/>
        <v/>
      </c>
      <c r="AE31" s="1" t="str">
        <f t="shared" si="15"/>
        <v/>
      </c>
      <c r="AF31" s="2" t="s">
        <v>275</v>
      </c>
      <c r="AG31" s="1">
        <f t="shared" si="16"/>
        <v>0.62</v>
      </c>
      <c r="AH31" s="2" t="s">
        <v>316</v>
      </c>
      <c r="AI31" s="1">
        <f t="shared" si="17"/>
        <v>-1.9</v>
      </c>
      <c r="AJ31" s="2" t="s">
        <v>317</v>
      </c>
      <c r="AK31" s="1">
        <f t="shared" si="18"/>
        <v>1.46</v>
      </c>
      <c r="AL31" s="6">
        <v>46118.0</v>
      </c>
      <c r="AM31" s="1">
        <f t="shared" si="19"/>
        <v>4.06</v>
      </c>
      <c r="AN31" s="1" t="s">
        <v>210</v>
      </c>
    </row>
    <row r="32">
      <c r="A32" s="1" t="s">
        <v>279</v>
      </c>
      <c r="B32" s="1" t="s">
        <v>134</v>
      </c>
      <c r="C32" s="2" t="s">
        <v>318</v>
      </c>
      <c r="D32" s="1">
        <f t="shared" si="1"/>
        <v>14.86</v>
      </c>
      <c r="E32" s="2" t="s">
        <v>65</v>
      </c>
      <c r="F32" s="1">
        <f t="shared" si="2"/>
        <v>0.55</v>
      </c>
      <c r="G32" s="1" t="str">
        <f t="shared" si="3"/>
        <v>Medium</v>
      </c>
      <c r="H32" s="2" t="s">
        <v>319</v>
      </c>
      <c r="I32" s="1">
        <f t="shared" si="4"/>
        <v>877.64</v>
      </c>
      <c r="K32" s="1" t="str">
        <f t="shared" si="5"/>
        <v/>
      </c>
      <c r="M32" s="1" t="str">
        <f t="shared" si="6"/>
        <v/>
      </c>
      <c r="O32" s="1" t="str">
        <f t="shared" si="7"/>
        <v/>
      </c>
      <c r="Q32" s="1" t="str">
        <f t="shared" si="8"/>
        <v/>
      </c>
      <c r="S32" s="1" t="str">
        <f t="shared" si="9"/>
        <v/>
      </c>
      <c r="T32" s="5">
        <v>46043.0</v>
      </c>
      <c r="U32" s="1">
        <f t="shared" si="10"/>
        <v>1.21</v>
      </c>
      <c r="W32" s="1" t="str">
        <f t="shared" si="11"/>
        <v/>
      </c>
      <c r="Y32" s="1" t="str">
        <f t="shared" si="12"/>
        <v/>
      </c>
      <c r="AA32" s="1" t="str">
        <f t="shared" si="13"/>
        <v/>
      </c>
      <c r="AC32" s="1" t="str">
        <f t="shared" si="14"/>
        <v/>
      </c>
      <c r="AE32" s="1" t="str">
        <f t="shared" si="15"/>
        <v/>
      </c>
      <c r="AF32" s="6">
        <v>46031.0</v>
      </c>
      <c r="AG32" s="1">
        <f t="shared" si="16"/>
        <v>1.09</v>
      </c>
      <c r="AH32" s="2" t="s">
        <v>320</v>
      </c>
      <c r="AI32" s="1">
        <f t="shared" si="17"/>
        <v>-0.11</v>
      </c>
      <c r="AJ32" s="2" t="s">
        <v>305</v>
      </c>
      <c r="AK32" s="1">
        <f t="shared" si="18"/>
        <v>0.7</v>
      </c>
      <c r="AL32" s="5">
        <v>46033.0</v>
      </c>
      <c r="AM32" s="1">
        <f t="shared" si="19"/>
        <v>1.11</v>
      </c>
      <c r="AN32" s="1" t="s">
        <v>210</v>
      </c>
    </row>
    <row r="33">
      <c r="A33" s="1" t="s">
        <v>286</v>
      </c>
      <c r="B33" s="1" t="s">
        <v>73</v>
      </c>
      <c r="C33" s="2" t="s">
        <v>321</v>
      </c>
      <c r="D33" s="1">
        <f t="shared" si="1"/>
        <v>21.7</v>
      </c>
      <c r="E33" s="2" t="s">
        <v>51</v>
      </c>
      <c r="F33" s="1">
        <f t="shared" si="2"/>
        <v>0.5</v>
      </c>
      <c r="G33" s="1" t="str">
        <f t="shared" si="3"/>
        <v>Low</v>
      </c>
      <c r="H33" s="2" t="s">
        <v>323</v>
      </c>
      <c r="I33" s="1">
        <f t="shared" si="4"/>
        <v>1271.21</v>
      </c>
      <c r="J33" s="2" t="s">
        <v>100</v>
      </c>
      <c r="K33" s="1">
        <f t="shared" si="5"/>
        <v>0.54</v>
      </c>
      <c r="L33" s="2" t="s">
        <v>114</v>
      </c>
      <c r="M33" s="1">
        <f t="shared" si="6"/>
        <v>0.1</v>
      </c>
      <c r="N33" s="2" t="s">
        <v>66</v>
      </c>
      <c r="O33" s="1">
        <f t="shared" si="7"/>
        <v>0.21</v>
      </c>
      <c r="P33" s="2" t="s">
        <v>178</v>
      </c>
      <c r="Q33" s="1">
        <f t="shared" si="8"/>
        <v>0.19</v>
      </c>
      <c r="R33" s="2" t="s">
        <v>41</v>
      </c>
      <c r="S33" s="1">
        <f t="shared" si="9"/>
        <v>0.08</v>
      </c>
      <c r="T33" s="5">
        <v>46039.0</v>
      </c>
      <c r="U33" s="1">
        <f t="shared" si="10"/>
        <v>1.17</v>
      </c>
      <c r="V33" s="2" t="s">
        <v>65</v>
      </c>
      <c r="W33" s="1">
        <f t="shared" si="11"/>
        <v>0.55</v>
      </c>
      <c r="X33" s="2" t="s">
        <v>114</v>
      </c>
      <c r="Y33" s="1">
        <f t="shared" si="12"/>
        <v>0.1</v>
      </c>
      <c r="Z33" s="2" t="s">
        <v>249</v>
      </c>
      <c r="AA33" s="1">
        <f t="shared" si="13"/>
        <v>0.92</v>
      </c>
      <c r="AB33" s="2" t="s">
        <v>41</v>
      </c>
      <c r="AC33" s="1">
        <f t="shared" si="14"/>
        <v>0.08</v>
      </c>
      <c r="AD33" s="2" t="s">
        <v>181</v>
      </c>
      <c r="AE33" s="1">
        <f t="shared" si="15"/>
        <v>0.05</v>
      </c>
      <c r="AF33" s="2" t="s">
        <v>252</v>
      </c>
      <c r="AG33" s="1">
        <f t="shared" si="16"/>
        <v>1.69</v>
      </c>
      <c r="AH33" s="2" t="s">
        <v>88</v>
      </c>
      <c r="AI33" s="1">
        <f t="shared" si="17"/>
        <v>0.52</v>
      </c>
      <c r="AJ33" s="2" t="s">
        <v>324</v>
      </c>
      <c r="AK33" s="1">
        <f t="shared" si="18"/>
        <v>0.68</v>
      </c>
      <c r="AL33" s="2" t="s">
        <v>267</v>
      </c>
      <c r="AM33" s="1">
        <f t="shared" si="19"/>
        <v>0.69</v>
      </c>
      <c r="AN33" s="1">
        <v>6.0</v>
      </c>
    </row>
    <row r="34">
      <c r="A34" s="1" t="s">
        <v>291</v>
      </c>
      <c r="B34" s="1" t="s">
        <v>205</v>
      </c>
      <c r="C34" s="2" t="s">
        <v>325</v>
      </c>
      <c r="D34" s="1">
        <f t="shared" si="1"/>
        <v>34.84</v>
      </c>
      <c r="E34" s="2" t="s">
        <v>215</v>
      </c>
      <c r="F34" s="1">
        <f t="shared" si="2"/>
        <v>0.91</v>
      </c>
      <c r="G34" s="1" t="str">
        <f t="shared" si="3"/>
        <v>Very High</v>
      </c>
      <c r="H34" s="2" t="s">
        <v>326</v>
      </c>
      <c r="I34" s="1">
        <f t="shared" si="4"/>
        <v>52145.4</v>
      </c>
      <c r="J34" s="2" t="s">
        <v>317</v>
      </c>
      <c r="K34" s="1">
        <f t="shared" si="5"/>
        <v>1.46</v>
      </c>
      <c r="L34" s="2" t="s">
        <v>90</v>
      </c>
      <c r="M34" s="1">
        <f t="shared" si="6"/>
        <v>0.33</v>
      </c>
      <c r="N34" s="5">
        <v>46024.0</v>
      </c>
      <c r="O34" s="1">
        <f t="shared" si="7"/>
        <v>1.2</v>
      </c>
      <c r="P34" s="2">
        <v>5.0</v>
      </c>
      <c r="Q34" s="1">
        <f t="shared" si="8"/>
        <v>5</v>
      </c>
      <c r="R34" s="2" t="s">
        <v>92</v>
      </c>
      <c r="S34" s="1">
        <f t="shared" si="9"/>
        <v>0.12</v>
      </c>
      <c r="T34" s="5">
        <v>46251.0</v>
      </c>
      <c r="U34" s="1">
        <f t="shared" si="10"/>
        <v>8.17</v>
      </c>
      <c r="V34" s="5">
        <v>46092.0</v>
      </c>
      <c r="W34" s="1">
        <f t="shared" si="11"/>
        <v>3.11</v>
      </c>
      <c r="X34" s="2" t="s">
        <v>67</v>
      </c>
      <c r="Y34" s="1">
        <f t="shared" si="12"/>
        <v>0.29</v>
      </c>
      <c r="Z34" s="5">
        <v>46277.0</v>
      </c>
      <c r="AA34" s="1">
        <f t="shared" si="13"/>
        <v>9.12</v>
      </c>
      <c r="AB34" s="2" t="s">
        <v>328</v>
      </c>
      <c r="AC34" s="1">
        <f t="shared" si="14"/>
        <v>3.41</v>
      </c>
      <c r="AD34" s="2" t="s">
        <v>68</v>
      </c>
      <c r="AE34" s="1">
        <f t="shared" si="15"/>
        <v>0.07</v>
      </c>
      <c r="AF34" s="2" t="s">
        <v>329</v>
      </c>
      <c r="AG34" s="1">
        <f t="shared" si="16"/>
        <v>16.01</v>
      </c>
      <c r="AH34" s="2" t="s">
        <v>330</v>
      </c>
      <c r="AI34" s="1">
        <f t="shared" si="17"/>
        <v>7.83</v>
      </c>
      <c r="AJ34" s="2" t="s">
        <v>331</v>
      </c>
      <c r="AK34" s="1">
        <f t="shared" si="18"/>
        <v>4.72</v>
      </c>
      <c r="AL34" s="2" t="s">
        <v>233</v>
      </c>
      <c r="AM34" s="1">
        <f t="shared" si="19"/>
        <v>0.51</v>
      </c>
      <c r="AN34" s="1">
        <v>5.0</v>
      </c>
    </row>
    <row r="35">
      <c r="A35" s="1" t="s">
        <v>295</v>
      </c>
      <c r="B35" s="1" t="s">
        <v>103</v>
      </c>
      <c r="C35" s="2" t="s">
        <v>69</v>
      </c>
      <c r="D35" s="1">
        <f t="shared" si="1"/>
        <v>0.06</v>
      </c>
      <c r="F35" s="1" t="str">
        <f t="shared" si="2"/>
        <v/>
      </c>
      <c r="G35" s="1" t="str">
        <f t="shared" si="3"/>
        <v>Unknown</v>
      </c>
      <c r="I35" s="1" t="str">
        <f t="shared" si="4"/>
        <v/>
      </c>
      <c r="J35" s="2" t="s">
        <v>302</v>
      </c>
      <c r="K35" s="1">
        <f t="shared" si="5"/>
        <v>0.36</v>
      </c>
      <c r="L35" s="2" t="s">
        <v>123</v>
      </c>
      <c r="M35" s="1">
        <f t="shared" si="6"/>
        <v>0.45</v>
      </c>
      <c r="N35" s="5">
        <v>46045.0</v>
      </c>
      <c r="O35" s="1">
        <f t="shared" si="7"/>
        <v>1.23</v>
      </c>
      <c r="P35" s="2" t="s">
        <v>332</v>
      </c>
      <c r="Q35" s="1">
        <f t="shared" si="8"/>
        <v>3.56</v>
      </c>
      <c r="R35" s="2" t="s">
        <v>181</v>
      </c>
      <c r="S35" s="1">
        <f t="shared" si="9"/>
        <v>0.05</v>
      </c>
      <c r="T35" s="2" t="s">
        <v>333</v>
      </c>
      <c r="U35" s="1">
        <f t="shared" si="10"/>
        <v>5.65</v>
      </c>
      <c r="V35" s="2">
        <v>0.0</v>
      </c>
      <c r="W35" s="1">
        <f t="shared" si="11"/>
        <v>0</v>
      </c>
      <c r="X35" s="2" t="s">
        <v>48</v>
      </c>
      <c r="Y35" s="1">
        <f t="shared" si="12"/>
        <v>0.02</v>
      </c>
      <c r="Z35" s="2" t="s">
        <v>178</v>
      </c>
      <c r="AA35" s="1">
        <f t="shared" si="13"/>
        <v>0.19</v>
      </c>
      <c r="AB35" s="2" t="s">
        <v>149</v>
      </c>
      <c r="AC35" s="1">
        <f t="shared" si="14"/>
        <v>0.11</v>
      </c>
      <c r="AD35" s="2">
        <v>0.0</v>
      </c>
      <c r="AE35" s="1">
        <f t="shared" si="15"/>
        <v>0</v>
      </c>
      <c r="AF35" s="2" t="s">
        <v>310</v>
      </c>
      <c r="AG35" s="1">
        <f t="shared" si="16"/>
        <v>0.32</v>
      </c>
      <c r="AH35" s="2" t="s">
        <v>334</v>
      </c>
      <c r="AI35" s="1">
        <f t="shared" si="17"/>
        <v>-5.33</v>
      </c>
      <c r="AJ35" s="5">
        <v>46107.0</v>
      </c>
      <c r="AK35" s="1">
        <f t="shared" si="18"/>
        <v>3.26</v>
      </c>
      <c r="AL35" s="2" t="s">
        <v>335</v>
      </c>
      <c r="AM35" s="1">
        <f t="shared" si="19"/>
        <v>17.91</v>
      </c>
      <c r="AN35" s="1" t="s">
        <v>164</v>
      </c>
    </row>
    <row r="36">
      <c r="A36" s="1" t="s">
        <v>301</v>
      </c>
      <c r="B36" s="1" t="s">
        <v>73</v>
      </c>
      <c r="C36" s="2" t="s">
        <v>337</v>
      </c>
      <c r="D36" s="1">
        <f t="shared" si="1"/>
        <v>4.53</v>
      </c>
      <c r="E36" s="2" t="s">
        <v>101</v>
      </c>
      <c r="F36" s="1">
        <f t="shared" si="2"/>
        <v>0.37</v>
      </c>
      <c r="G36" s="1" t="str">
        <f t="shared" si="3"/>
        <v>Low</v>
      </c>
      <c r="H36" s="2" t="s">
        <v>338</v>
      </c>
      <c r="I36" s="1">
        <f t="shared" si="4"/>
        <v>495.04</v>
      </c>
      <c r="J36" s="2" t="s">
        <v>38</v>
      </c>
      <c r="K36" s="1">
        <f t="shared" si="5"/>
        <v>0.3</v>
      </c>
      <c r="L36" s="2" t="s">
        <v>65</v>
      </c>
      <c r="M36" s="1">
        <f t="shared" si="6"/>
        <v>0.55</v>
      </c>
      <c r="N36" s="2" t="s">
        <v>97</v>
      </c>
      <c r="O36" s="1">
        <f t="shared" si="7"/>
        <v>0.26</v>
      </c>
      <c r="P36" s="2" t="s">
        <v>41</v>
      </c>
      <c r="Q36" s="1">
        <f t="shared" si="8"/>
        <v>0.08</v>
      </c>
      <c r="R36" s="2" t="s">
        <v>48</v>
      </c>
      <c r="S36" s="1">
        <f t="shared" si="9"/>
        <v>0.02</v>
      </c>
      <c r="T36" s="5">
        <v>46046.0</v>
      </c>
      <c r="U36" s="1">
        <f t="shared" si="10"/>
        <v>1.24</v>
      </c>
      <c r="V36" s="2" t="s">
        <v>67</v>
      </c>
      <c r="W36" s="1">
        <f t="shared" si="11"/>
        <v>0.29</v>
      </c>
      <c r="X36" s="2" t="s">
        <v>138</v>
      </c>
      <c r="Y36" s="1">
        <f t="shared" si="12"/>
        <v>0.57</v>
      </c>
      <c r="Z36" s="2" t="s">
        <v>339</v>
      </c>
      <c r="AA36" s="1">
        <f t="shared" si="13"/>
        <v>6.98</v>
      </c>
      <c r="AB36" s="2">
        <v>0.0</v>
      </c>
      <c r="AC36" s="1">
        <f t="shared" si="14"/>
        <v>0</v>
      </c>
      <c r="AD36" s="2" t="s">
        <v>49</v>
      </c>
      <c r="AE36" s="1">
        <f t="shared" si="15"/>
        <v>0.04</v>
      </c>
      <c r="AF36" s="2" t="s">
        <v>340</v>
      </c>
      <c r="AG36" s="1">
        <f t="shared" si="16"/>
        <v>7.87</v>
      </c>
      <c r="AH36" s="2" t="s">
        <v>341</v>
      </c>
      <c r="AI36" s="1">
        <f t="shared" si="17"/>
        <v>6.62</v>
      </c>
      <c r="AJ36" s="2" t="s">
        <v>186</v>
      </c>
      <c r="AK36" s="1">
        <f t="shared" si="18"/>
        <v>0.72</v>
      </c>
      <c r="AL36" s="2" t="s">
        <v>78</v>
      </c>
      <c r="AM36" s="1">
        <f t="shared" si="19"/>
        <v>0.16</v>
      </c>
      <c r="AN36" s="1">
        <v>6.0</v>
      </c>
    </row>
    <row r="37">
      <c r="A37" s="1" t="s">
        <v>306</v>
      </c>
      <c r="B37" s="1" t="s">
        <v>73</v>
      </c>
      <c r="C37" s="2" t="s">
        <v>342</v>
      </c>
      <c r="D37" s="1">
        <f t="shared" si="1"/>
        <v>12.45</v>
      </c>
      <c r="E37" s="2" t="s">
        <v>298</v>
      </c>
      <c r="F37" s="1">
        <f t="shared" si="2"/>
        <v>0.39</v>
      </c>
      <c r="G37" s="1" t="str">
        <f t="shared" si="3"/>
        <v>Low</v>
      </c>
      <c r="H37" s="2" t="s">
        <v>343</v>
      </c>
      <c r="I37" s="1">
        <f t="shared" si="4"/>
        <v>1161.22</v>
      </c>
      <c r="J37" s="2" t="s">
        <v>302</v>
      </c>
      <c r="K37" s="1">
        <f t="shared" si="5"/>
        <v>0.36</v>
      </c>
      <c r="L37" s="2" t="s">
        <v>167</v>
      </c>
      <c r="M37" s="1">
        <f t="shared" si="6"/>
        <v>0.75</v>
      </c>
      <c r="N37" s="2" t="s">
        <v>81</v>
      </c>
      <c r="O37" s="1">
        <f t="shared" si="7"/>
        <v>0.27</v>
      </c>
      <c r="P37" s="2" t="s">
        <v>80</v>
      </c>
      <c r="Q37" s="1">
        <f t="shared" si="8"/>
        <v>0.01</v>
      </c>
      <c r="R37" s="2" t="s">
        <v>80</v>
      </c>
      <c r="S37" s="1">
        <f t="shared" si="9"/>
        <v>0.01</v>
      </c>
      <c r="T37" s="2" t="s">
        <v>317</v>
      </c>
      <c r="U37" s="1">
        <f t="shared" si="10"/>
        <v>1.46</v>
      </c>
      <c r="V37" s="2" t="s">
        <v>293</v>
      </c>
      <c r="W37" s="1">
        <f t="shared" si="11"/>
        <v>0.35</v>
      </c>
      <c r="X37" s="5">
        <v>46037.0</v>
      </c>
      <c r="Y37" s="1">
        <f t="shared" si="12"/>
        <v>1.15</v>
      </c>
      <c r="Z37" s="2" t="s">
        <v>283</v>
      </c>
      <c r="AA37" s="1">
        <f t="shared" si="13"/>
        <v>0.41</v>
      </c>
      <c r="AB37" s="2" t="s">
        <v>68</v>
      </c>
      <c r="AC37" s="1">
        <f t="shared" si="14"/>
        <v>0.07</v>
      </c>
      <c r="AD37" s="2" t="s">
        <v>181</v>
      </c>
      <c r="AE37" s="1">
        <f t="shared" si="15"/>
        <v>0.05</v>
      </c>
      <c r="AF37" s="6">
        <v>46056.0</v>
      </c>
      <c r="AG37" s="1">
        <f t="shared" si="16"/>
        <v>2.03</v>
      </c>
      <c r="AH37" s="2" t="s">
        <v>138</v>
      </c>
      <c r="AI37" s="1">
        <f t="shared" si="17"/>
        <v>0.57</v>
      </c>
      <c r="AJ37" s="2" t="s">
        <v>344</v>
      </c>
      <c r="AK37" s="1">
        <f t="shared" si="18"/>
        <v>0.84</v>
      </c>
      <c r="AL37" s="2" t="s">
        <v>186</v>
      </c>
      <c r="AM37" s="1">
        <f t="shared" si="19"/>
        <v>0.72</v>
      </c>
      <c r="AN37" s="1">
        <v>6.0</v>
      </c>
    </row>
    <row r="38">
      <c r="A38" s="1" t="s">
        <v>309</v>
      </c>
      <c r="B38" s="1" t="s">
        <v>103</v>
      </c>
      <c r="C38" s="2" t="s">
        <v>345</v>
      </c>
      <c r="D38" s="1">
        <f t="shared" si="1"/>
        <v>17.46</v>
      </c>
      <c r="E38" s="2" t="s">
        <v>111</v>
      </c>
      <c r="F38" s="1">
        <f t="shared" si="2"/>
        <v>0.83</v>
      </c>
      <c r="G38" s="1" t="str">
        <f t="shared" si="3"/>
        <v>Very High</v>
      </c>
      <c r="H38" s="2" t="s">
        <v>347</v>
      </c>
      <c r="I38" s="1">
        <f t="shared" si="4"/>
        <v>14525.8</v>
      </c>
      <c r="J38" s="2" t="s">
        <v>348</v>
      </c>
      <c r="K38" s="1">
        <f t="shared" si="5"/>
        <v>0.61</v>
      </c>
      <c r="L38" s="2" t="s">
        <v>90</v>
      </c>
      <c r="M38" s="1">
        <f t="shared" si="6"/>
        <v>0.33</v>
      </c>
      <c r="N38" s="2" t="s">
        <v>225</v>
      </c>
      <c r="O38" s="1">
        <f t="shared" si="7"/>
        <v>0.99</v>
      </c>
      <c r="P38" s="6">
        <v>46057.0</v>
      </c>
      <c r="Q38" s="1">
        <f t="shared" si="8"/>
        <v>2.04</v>
      </c>
      <c r="R38" s="2" t="s">
        <v>63</v>
      </c>
      <c r="S38" s="1">
        <f t="shared" si="9"/>
        <v>0.25</v>
      </c>
      <c r="T38" s="2" t="s">
        <v>349</v>
      </c>
      <c r="U38" s="1">
        <f t="shared" si="10"/>
        <v>4.36</v>
      </c>
      <c r="V38" s="2" t="s">
        <v>300</v>
      </c>
      <c r="W38" s="1">
        <f t="shared" si="11"/>
        <v>0.47</v>
      </c>
      <c r="X38" s="2" t="s">
        <v>123</v>
      </c>
      <c r="Y38" s="1">
        <f t="shared" si="12"/>
        <v>0.45</v>
      </c>
      <c r="Z38" s="5">
        <v>46072.0</v>
      </c>
      <c r="AA38" s="1">
        <f t="shared" si="13"/>
        <v>2.19</v>
      </c>
      <c r="AB38" s="2" t="s">
        <v>199</v>
      </c>
      <c r="AC38" s="1">
        <f t="shared" si="14"/>
        <v>0.38</v>
      </c>
      <c r="AD38" s="2" t="s">
        <v>91</v>
      </c>
      <c r="AE38" s="1">
        <f t="shared" si="15"/>
        <v>0.15</v>
      </c>
      <c r="AF38" s="2" t="s">
        <v>350</v>
      </c>
      <c r="AG38" s="1">
        <f t="shared" si="16"/>
        <v>3.63</v>
      </c>
      <c r="AH38" s="2" t="s">
        <v>351</v>
      </c>
      <c r="AI38" s="1">
        <f t="shared" si="17"/>
        <v>-0.73</v>
      </c>
      <c r="AJ38" s="2" t="s">
        <v>136</v>
      </c>
      <c r="AK38" s="1">
        <f t="shared" si="18"/>
        <v>2.52</v>
      </c>
      <c r="AL38" s="5">
        <v>46024.0</v>
      </c>
      <c r="AM38" s="1">
        <f t="shared" si="19"/>
        <v>1.2</v>
      </c>
      <c r="AN38" s="1">
        <v>6.0</v>
      </c>
    </row>
    <row r="39">
      <c r="A39" s="1" t="s">
        <v>313</v>
      </c>
      <c r="B39" s="1" t="s">
        <v>134</v>
      </c>
      <c r="C39" s="7" t="s">
        <v>352</v>
      </c>
      <c r="D39" s="1">
        <f t="shared" si="1"/>
        <v>1408.04</v>
      </c>
      <c r="E39" s="2" t="s">
        <v>186</v>
      </c>
      <c r="F39" s="1">
        <f t="shared" si="2"/>
        <v>0.72</v>
      </c>
      <c r="G39" s="1" t="str">
        <f t="shared" si="3"/>
        <v>High</v>
      </c>
      <c r="H39" s="2" t="s">
        <v>354</v>
      </c>
      <c r="I39" s="1">
        <f t="shared" si="4"/>
        <v>5560.94</v>
      </c>
      <c r="J39" s="2" t="s">
        <v>65</v>
      </c>
      <c r="K39" s="1">
        <f t="shared" si="5"/>
        <v>0.55</v>
      </c>
      <c r="L39" s="2" t="s">
        <v>240</v>
      </c>
      <c r="M39" s="1">
        <f t="shared" si="6"/>
        <v>0.13</v>
      </c>
      <c r="N39" s="2" t="s">
        <v>178</v>
      </c>
      <c r="O39" s="1">
        <f t="shared" si="7"/>
        <v>0.19</v>
      </c>
      <c r="P39" s="2" t="s">
        <v>355</v>
      </c>
      <c r="Q39" s="1">
        <f t="shared" si="8"/>
        <v>2.32</v>
      </c>
      <c r="R39" s="2" t="s">
        <v>41</v>
      </c>
      <c r="S39" s="1">
        <f t="shared" si="9"/>
        <v>0.08</v>
      </c>
      <c r="T39" s="2" t="s">
        <v>356</v>
      </c>
      <c r="U39" s="1">
        <f t="shared" si="10"/>
        <v>3.38</v>
      </c>
      <c r="V39" s="2" t="s">
        <v>36</v>
      </c>
      <c r="W39" s="1">
        <f t="shared" si="11"/>
        <v>0.46</v>
      </c>
      <c r="X39" s="2" t="s">
        <v>114</v>
      </c>
      <c r="Y39" s="1">
        <f t="shared" si="12"/>
        <v>0.1</v>
      </c>
      <c r="Z39" s="2" t="s">
        <v>62</v>
      </c>
      <c r="AA39" s="1">
        <f t="shared" si="13"/>
        <v>0.22</v>
      </c>
      <c r="AB39" s="2" t="s">
        <v>49</v>
      </c>
      <c r="AC39" s="1">
        <f t="shared" si="14"/>
        <v>0.04</v>
      </c>
      <c r="AD39" s="2" t="s">
        <v>92</v>
      </c>
      <c r="AE39" s="1">
        <f t="shared" si="15"/>
        <v>0.12</v>
      </c>
      <c r="AF39" s="2" t="s">
        <v>107</v>
      </c>
      <c r="AG39" s="1">
        <f t="shared" si="16"/>
        <v>0.94</v>
      </c>
      <c r="AH39" s="2" t="s">
        <v>357</v>
      </c>
      <c r="AI39" s="1">
        <f t="shared" si="17"/>
        <v>-2.44</v>
      </c>
      <c r="AJ39" s="2" t="s">
        <v>358</v>
      </c>
      <c r="AK39" s="1">
        <f t="shared" si="18"/>
        <v>1.95</v>
      </c>
      <c r="AL39" s="2" t="s">
        <v>359</v>
      </c>
      <c r="AM39" s="1">
        <f t="shared" si="19"/>
        <v>3.59</v>
      </c>
      <c r="AN39" s="1">
        <v>6.0</v>
      </c>
    </row>
    <row r="40">
      <c r="A40" s="1" t="s">
        <v>315</v>
      </c>
      <c r="B40" s="1" t="s">
        <v>103</v>
      </c>
      <c r="C40" s="2" t="s">
        <v>360</v>
      </c>
      <c r="D40" s="1">
        <f t="shared" si="1"/>
        <v>47.7</v>
      </c>
      <c r="E40" s="2" t="s">
        <v>186</v>
      </c>
      <c r="F40" s="1">
        <f t="shared" si="2"/>
        <v>0.72</v>
      </c>
      <c r="G40" s="1" t="str">
        <f t="shared" si="3"/>
        <v>High</v>
      </c>
      <c r="H40" s="2" t="s">
        <v>361</v>
      </c>
      <c r="I40" s="1">
        <f t="shared" si="4"/>
        <v>7305.22</v>
      </c>
      <c r="J40" s="2" t="s">
        <v>293</v>
      </c>
      <c r="K40" s="1">
        <f t="shared" si="5"/>
        <v>0.35</v>
      </c>
      <c r="L40" s="2" t="s">
        <v>191</v>
      </c>
      <c r="M40" s="1">
        <f t="shared" si="6"/>
        <v>0.58</v>
      </c>
      <c r="N40" s="2" t="s">
        <v>78</v>
      </c>
      <c r="O40" s="1">
        <f t="shared" si="7"/>
        <v>0.16</v>
      </c>
      <c r="P40" s="2" t="s">
        <v>254</v>
      </c>
      <c r="Q40" s="1">
        <f t="shared" si="8"/>
        <v>0.67</v>
      </c>
      <c r="R40" s="2" t="s">
        <v>82</v>
      </c>
      <c r="S40" s="1">
        <f t="shared" si="9"/>
        <v>0.03</v>
      </c>
      <c r="T40" s="2" t="s">
        <v>71</v>
      </c>
      <c r="U40" s="1">
        <f t="shared" si="10"/>
        <v>1.87</v>
      </c>
      <c r="V40" s="2" t="s">
        <v>62</v>
      </c>
      <c r="W40" s="1">
        <f t="shared" si="11"/>
        <v>0.22</v>
      </c>
      <c r="X40" s="5">
        <v>46035.0</v>
      </c>
      <c r="Y40" s="1">
        <f t="shared" si="12"/>
        <v>1.13</v>
      </c>
      <c r="Z40" s="6">
        <v>46062.0</v>
      </c>
      <c r="AA40" s="1">
        <f t="shared" si="13"/>
        <v>2.09</v>
      </c>
      <c r="AB40" s="2" t="s">
        <v>68</v>
      </c>
      <c r="AC40" s="1">
        <f t="shared" si="14"/>
        <v>0.07</v>
      </c>
      <c r="AD40" s="2" t="s">
        <v>93</v>
      </c>
      <c r="AE40" s="1">
        <f t="shared" si="15"/>
        <v>0.09</v>
      </c>
      <c r="AF40" s="5">
        <v>46087.0</v>
      </c>
      <c r="AG40" s="1">
        <f t="shared" si="16"/>
        <v>3.6</v>
      </c>
      <c r="AH40" s="2" t="s">
        <v>363</v>
      </c>
      <c r="AI40" s="1">
        <f t="shared" si="17"/>
        <v>1.72</v>
      </c>
      <c r="AJ40" s="6">
        <v>46030.0</v>
      </c>
      <c r="AK40" s="1">
        <f t="shared" si="18"/>
        <v>1.08</v>
      </c>
      <c r="AL40" s="2" t="s">
        <v>88</v>
      </c>
      <c r="AM40" s="1">
        <f t="shared" si="19"/>
        <v>0.52</v>
      </c>
      <c r="AN40" s="1">
        <v>6.0</v>
      </c>
    </row>
    <row r="41">
      <c r="A41" s="1" t="s">
        <v>322</v>
      </c>
      <c r="B41" s="1" t="s">
        <v>73</v>
      </c>
      <c r="C41" s="2" t="s">
        <v>186</v>
      </c>
      <c r="D41" s="1">
        <f t="shared" si="1"/>
        <v>0.72</v>
      </c>
      <c r="E41" s="2" t="s">
        <v>51</v>
      </c>
      <c r="F41" s="1">
        <f t="shared" si="2"/>
        <v>0.5</v>
      </c>
      <c r="G41" s="1" t="str">
        <f t="shared" si="3"/>
        <v>Low</v>
      </c>
      <c r="H41" s="2" t="s">
        <v>364</v>
      </c>
      <c r="I41" s="1">
        <f t="shared" si="4"/>
        <v>860.24</v>
      </c>
      <c r="J41" s="2" t="s">
        <v>90</v>
      </c>
      <c r="K41" s="1">
        <f t="shared" si="5"/>
        <v>0.33</v>
      </c>
      <c r="L41" s="2" t="s">
        <v>82</v>
      </c>
      <c r="M41" s="1">
        <f t="shared" si="6"/>
        <v>0.03</v>
      </c>
      <c r="N41" s="2" t="s">
        <v>42</v>
      </c>
      <c r="O41" s="1">
        <f t="shared" si="7"/>
        <v>0.18</v>
      </c>
      <c r="P41" s="2" t="s">
        <v>63</v>
      </c>
      <c r="Q41" s="1">
        <f t="shared" si="8"/>
        <v>0.25</v>
      </c>
      <c r="R41" s="2" t="s">
        <v>63</v>
      </c>
      <c r="S41" s="1">
        <f t="shared" si="9"/>
        <v>0.25</v>
      </c>
      <c r="T41" s="6">
        <v>46025.0</v>
      </c>
      <c r="U41" s="1">
        <f t="shared" si="10"/>
        <v>1.03</v>
      </c>
      <c r="V41" s="2" t="s">
        <v>365</v>
      </c>
      <c r="W41" s="1">
        <f t="shared" si="11"/>
        <v>0.23</v>
      </c>
      <c r="X41" s="2" t="s">
        <v>80</v>
      </c>
      <c r="Y41" s="1">
        <f t="shared" si="12"/>
        <v>0.01</v>
      </c>
      <c r="Z41" s="2" t="s">
        <v>48</v>
      </c>
      <c r="AA41" s="1">
        <f t="shared" si="13"/>
        <v>0.02</v>
      </c>
      <c r="AB41" s="2" t="s">
        <v>68</v>
      </c>
      <c r="AC41" s="1">
        <f t="shared" si="14"/>
        <v>0.07</v>
      </c>
      <c r="AD41" s="2">
        <v>0.0</v>
      </c>
      <c r="AE41" s="1">
        <f t="shared" si="15"/>
        <v>0</v>
      </c>
      <c r="AF41" s="2" t="s">
        <v>310</v>
      </c>
      <c r="AG41" s="1">
        <f t="shared" si="16"/>
        <v>0.32</v>
      </c>
      <c r="AH41" s="2" t="s">
        <v>367</v>
      </c>
      <c r="AI41" s="1">
        <f t="shared" si="17"/>
        <v>-0.7</v>
      </c>
      <c r="AJ41" s="2" t="s">
        <v>83</v>
      </c>
      <c r="AK41" s="1">
        <f t="shared" si="18"/>
        <v>0.59</v>
      </c>
      <c r="AL41" s="5">
        <v>46098.0</v>
      </c>
      <c r="AM41" s="1">
        <f t="shared" si="19"/>
        <v>3.17</v>
      </c>
      <c r="AN41" s="1" t="s">
        <v>124</v>
      </c>
    </row>
    <row r="42">
      <c r="A42" s="1" t="s">
        <v>327</v>
      </c>
      <c r="B42" s="1" t="s">
        <v>73</v>
      </c>
      <c r="C42" s="2" t="s">
        <v>368</v>
      </c>
      <c r="D42" s="1">
        <f t="shared" si="1"/>
        <v>4.34</v>
      </c>
      <c r="E42" s="2" t="s">
        <v>138</v>
      </c>
      <c r="F42" s="1">
        <f t="shared" si="2"/>
        <v>0.57</v>
      </c>
      <c r="G42" s="1" t="str">
        <f t="shared" si="3"/>
        <v>Medium</v>
      </c>
      <c r="H42" s="2" t="s">
        <v>369</v>
      </c>
      <c r="I42" s="1">
        <f t="shared" si="4"/>
        <v>1943.69</v>
      </c>
      <c r="J42" s="2" t="s">
        <v>62</v>
      </c>
      <c r="K42" s="1">
        <f t="shared" si="5"/>
        <v>0.22</v>
      </c>
      <c r="L42" s="2" t="s">
        <v>93</v>
      </c>
      <c r="M42" s="1">
        <f t="shared" si="6"/>
        <v>0.09</v>
      </c>
      <c r="N42" s="2" t="s">
        <v>199</v>
      </c>
      <c r="O42" s="1">
        <f t="shared" si="7"/>
        <v>0.38</v>
      </c>
      <c r="P42" s="2" t="s">
        <v>300</v>
      </c>
      <c r="Q42" s="1">
        <f t="shared" si="8"/>
        <v>0.47</v>
      </c>
      <c r="R42" s="2" t="s">
        <v>114</v>
      </c>
      <c r="S42" s="1">
        <f t="shared" si="9"/>
        <v>0.1</v>
      </c>
      <c r="T42" s="5">
        <v>46051.0</v>
      </c>
      <c r="U42" s="1">
        <f t="shared" si="10"/>
        <v>1.29</v>
      </c>
      <c r="V42" s="2" t="s">
        <v>240</v>
      </c>
      <c r="W42" s="1">
        <f t="shared" si="11"/>
        <v>0.13</v>
      </c>
      <c r="X42" s="6">
        <v>46087.0</v>
      </c>
      <c r="Y42" s="1">
        <f t="shared" si="12"/>
        <v>3.06</v>
      </c>
      <c r="Z42" s="2" t="s">
        <v>370</v>
      </c>
      <c r="AA42" s="1">
        <f t="shared" si="13"/>
        <v>7.33</v>
      </c>
      <c r="AB42" s="2" t="s">
        <v>293</v>
      </c>
      <c r="AC42" s="1">
        <f t="shared" si="14"/>
        <v>0.35</v>
      </c>
      <c r="AD42" s="2" t="s">
        <v>82</v>
      </c>
      <c r="AE42" s="1">
        <f t="shared" si="15"/>
        <v>0.03</v>
      </c>
      <c r="AF42" s="2" t="s">
        <v>371</v>
      </c>
      <c r="AG42" s="1">
        <f t="shared" si="16"/>
        <v>10.91</v>
      </c>
      <c r="AH42" s="2" t="s">
        <v>372</v>
      </c>
      <c r="AI42" s="1">
        <f t="shared" si="17"/>
        <v>9.63</v>
      </c>
      <c r="AJ42" s="2" t="s">
        <v>128</v>
      </c>
      <c r="AK42" s="1">
        <f t="shared" si="18"/>
        <v>0.74</v>
      </c>
      <c r="AL42" s="2" t="s">
        <v>92</v>
      </c>
      <c r="AM42" s="1">
        <f t="shared" si="19"/>
        <v>0.12</v>
      </c>
      <c r="AN42" s="1">
        <v>5.0</v>
      </c>
    </row>
    <row r="43">
      <c r="A43" s="1" t="s">
        <v>336</v>
      </c>
      <c r="B43" s="1" t="s">
        <v>73</v>
      </c>
      <c r="C43" s="2" t="s">
        <v>373</v>
      </c>
      <c r="D43" s="1">
        <f t="shared" si="1"/>
        <v>65.7</v>
      </c>
      <c r="E43" s="2" t="s">
        <v>201</v>
      </c>
      <c r="F43" s="1">
        <f t="shared" si="2"/>
        <v>0.42</v>
      </c>
      <c r="G43" s="1" t="str">
        <f t="shared" si="3"/>
        <v>Low</v>
      </c>
      <c r="H43" s="2" t="s">
        <v>374</v>
      </c>
      <c r="I43" s="1">
        <f t="shared" si="4"/>
        <v>338.63</v>
      </c>
      <c r="J43" s="2" t="s">
        <v>91</v>
      </c>
      <c r="K43" s="1">
        <f t="shared" si="5"/>
        <v>0.15</v>
      </c>
      <c r="L43" s="2" t="s">
        <v>80</v>
      </c>
      <c r="M43" s="1">
        <f t="shared" si="6"/>
        <v>0.01</v>
      </c>
      <c r="N43" s="2" t="s">
        <v>233</v>
      </c>
      <c r="O43" s="1">
        <f t="shared" si="7"/>
        <v>0.51</v>
      </c>
      <c r="P43" s="2" t="s">
        <v>68</v>
      </c>
      <c r="Q43" s="1">
        <f t="shared" si="8"/>
        <v>0.07</v>
      </c>
      <c r="R43" s="2" t="s">
        <v>80</v>
      </c>
      <c r="S43" s="1">
        <f t="shared" si="9"/>
        <v>0.01</v>
      </c>
      <c r="T43" s="2" t="s">
        <v>162</v>
      </c>
      <c r="U43" s="1">
        <f t="shared" si="10"/>
        <v>0.82</v>
      </c>
      <c r="V43" s="2" t="s">
        <v>240</v>
      </c>
      <c r="W43" s="1">
        <f t="shared" si="11"/>
        <v>0.13</v>
      </c>
      <c r="X43" s="2" t="s">
        <v>310</v>
      </c>
      <c r="Y43" s="1">
        <f t="shared" si="12"/>
        <v>0.32</v>
      </c>
      <c r="Z43" s="2" t="s">
        <v>136</v>
      </c>
      <c r="AA43" s="1">
        <f t="shared" si="13"/>
        <v>2.52</v>
      </c>
      <c r="AB43" s="2" t="s">
        <v>181</v>
      </c>
      <c r="AC43" s="1">
        <f t="shared" si="14"/>
        <v>0.05</v>
      </c>
      <c r="AD43" s="2" t="s">
        <v>181</v>
      </c>
      <c r="AE43" s="1">
        <f t="shared" si="15"/>
        <v>0.05</v>
      </c>
      <c r="AF43" s="6">
        <v>46088.0</v>
      </c>
      <c r="AG43" s="1">
        <f t="shared" si="16"/>
        <v>3.07</v>
      </c>
      <c r="AH43" s="5">
        <v>46078.0</v>
      </c>
      <c r="AI43" s="1">
        <f t="shared" si="17"/>
        <v>2.25</v>
      </c>
      <c r="AJ43" s="2" t="s">
        <v>300</v>
      </c>
      <c r="AK43" s="1">
        <f t="shared" si="18"/>
        <v>0.47</v>
      </c>
      <c r="AL43" s="2" t="s">
        <v>81</v>
      </c>
      <c r="AM43" s="1">
        <f t="shared" si="19"/>
        <v>0.27</v>
      </c>
      <c r="AN43" s="1">
        <v>6.0</v>
      </c>
    </row>
    <row r="44">
      <c r="A44" s="1" t="s">
        <v>346</v>
      </c>
      <c r="B44" s="1" t="s">
        <v>103</v>
      </c>
      <c r="C44" s="5">
        <v>46120.0</v>
      </c>
      <c r="D44" s="1">
        <f t="shared" si="1"/>
        <v>4.8</v>
      </c>
      <c r="E44" s="2" t="s">
        <v>376</v>
      </c>
      <c r="F44" s="1">
        <f t="shared" si="2"/>
        <v>0.76</v>
      </c>
      <c r="G44" s="1" t="str">
        <f t="shared" si="3"/>
        <v>High</v>
      </c>
      <c r="H44" s="2" t="s">
        <v>377</v>
      </c>
      <c r="I44" s="1">
        <f t="shared" si="4"/>
        <v>8979.96</v>
      </c>
      <c r="J44" s="2" t="s">
        <v>378</v>
      </c>
      <c r="K44" s="1">
        <f t="shared" si="5"/>
        <v>0.4</v>
      </c>
      <c r="L44" s="2" t="s">
        <v>66</v>
      </c>
      <c r="M44" s="1">
        <f t="shared" si="6"/>
        <v>0.21</v>
      </c>
      <c r="N44" s="2" t="s">
        <v>324</v>
      </c>
      <c r="O44" s="1">
        <f t="shared" si="7"/>
        <v>0.68</v>
      </c>
      <c r="P44" s="2" t="s">
        <v>379</v>
      </c>
      <c r="Q44" s="1">
        <f t="shared" si="8"/>
        <v>1.37</v>
      </c>
      <c r="R44" s="2" t="s">
        <v>41</v>
      </c>
      <c r="S44" s="1">
        <f t="shared" si="9"/>
        <v>0.08</v>
      </c>
      <c r="T44" s="2" t="s">
        <v>380</v>
      </c>
      <c r="U44" s="1">
        <f t="shared" si="10"/>
        <v>2.84</v>
      </c>
      <c r="V44" s="2" t="s">
        <v>199</v>
      </c>
      <c r="W44" s="1">
        <f t="shared" si="11"/>
        <v>0.38</v>
      </c>
      <c r="X44" s="2" t="s">
        <v>38</v>
      </c>
      <c r="Y44" s="1">
        <f t="shared" si="12"/>
        <v>0.3</v>
      </c>
      <c r="Z44" s="2" t="s">
        <v>147</v>
      </c>
      <c r="AA44" s="1">
        <f t="shared" si="13"/>
        <v>0.63</v>
      </c>
      <c r="AB44" s="2" t="s">
        <v>92</v>
      </c>
      <c r="AC44" s="1">
        <f t="shared" si="14"/>
        <v>0.12</v>
      </c>
      <c r="AD44" s="2" t="s">
        <v>114</v>
      </c>
      <c r="AE44" s="1">
        <f t="shared" si="15"/>
        <v>0.1</v>
      </c>
      <c r="AF44" s="2" t="s">
        <v>381</v>
      </c>
      <c r="AG44" s="1">
        <f t="shared" si="16"/>
        <v>1.53</v>
      </c>
      <c r="AH44" s="2" t="s">
        <v>382</v>
      </c>
      <c r="AI44" s="1">
        <f t="shared" si="17"/>
        <v>-1.31</v>
      </c>
      <c r="AJ44" s="2" t="s">
        <v>383</v>
      </c>
      <c r="AK44" s="1">
        <f t="shared" si="18"/>
        <v>1.64</v>
      </c>
      <c r="AL44" s="2" t="s">
        <v>117</v>
      </c>
      <c r="AM44" s="1">
        <f t="shared" si="19"/>
        <v>1.86</v>
      </c>
      <c r="AN44" s="1">
        <v>5.0</v>
      </c>
    </row>
    <row r="45">
      <c r="A45" s="1" t="s">
        <v>353</v>
      </c>
      <c r="B45" s="1" t="s">
        <v>73</v>
      </c>
      <c r="C45" s="2" t="s">
        <v>384</v>
      </c>
      <c r="D45" s="1">
        <f t="shared" si="1"/>
        <v>19.84</v>
      </c>
      <c r="F45" s="1" t="str">
        <f t="shared" si="2"/>
        <v/>
      </c>
      <c r="G45" s="1" t="str">
        <f t="shared" si="3"/>
        <v>Unknown</v>
      </c>
      <c r="H45" s="2" t="s">
        <v>385</v>
      </c>
      <c r="I45" s="1">
        <f t="shared" si="4"/>
        <v>1016.83</v>
      </c>
      <c r="J45" s="2" t="s">
        <v>233</v>
      </c>
      <c r="K45" s="1">
        <f t="shared" si="5"/>
        <v>0.51</v>
      </c>
      <c r="L45" s="2" t="s">
        <v>69</v>
      </c>
      <c r="M45" s="1">
        <f t="shared" si="6"/>
        <v>0.06</v>
      </c>
      <c r="N45" s="2" t="s">
        <v>62</v>
      </c>
      <c r="O45" s="1">
        <f t="shared" si="7"/>
        <v>0.22</v>
      </c>
      <c r="P45" s="2" t="s">
        <v>97</v>
      </c>
      <c r="Q45" s="1">
        <f t="shared" si="8"/>
        <v>0.26</v>
      </c>
      <c r="R45" s="2" t="s">
        <v>154</v>
      </c>
      <c r="S45" s="1">
        <f t="shared" si="9"/>
        <v>0.14</v>
      </c>
      <c r="T45" s="5">
        <v>46049.0</v>
      </c>
      <c r="U45" s="1">
        <f t="shared" si="10"/>
        <v>1.27</v>
      </c>
      <c r="V45" s="2" t="s">
        <v>159</v>
      </c>
      <c r="W45" s="1">
        <f t="shared" si="11"/>
        <v>0.88</v>
      </c>
      <c r="X45" s="2" t="s">
        <v>38</v>
      </c>
      <c r="Y45" s="1">
        <f t="shared" si="12"/>
        <v>0.3</v>
      </c>
      <c r="Z45" s="2" t="s">
        <v>224</v>
      </c>
      <c r="AA45" s="1">
        <f t="shared" si="13"/>
        <v>0.48</v>
      </c>
      <c r="AB45" s="2" t="s">
        <v>49</v>
      </c>
      <c r="AC45" s="1">
        <f t="shared" si="14"/>
        <v>0.04</v>
      </c>
      <c r="AD45" s="2" t="s">
        <v>41</v>
      </c>
      <c r="AE45" s="1">
        <f t="shared" si="15"/>
        <v>0.08</v>
      </c>
      <c r="AF45" s="2" t="s">
        <v>387</v>
      </c>
      <c r="AG45" s="1">
        <f t="shared" si="16"/>
        <v>1.78</v>
      </c>
      <c r="AH45" s="2" t="s">
        <v>233</v>
      </c>
      <c r="AI45" s="1">
        <f t="shared" si="17"/>
        <v>0.51</v>
      </c>
      <c r="AJ45" s="2" t="s">
        <v>128</v>
      </c>
      <c r="AK45" s="1">
        <f t="shared" si="18"/>
        <v>0.74</v>
      </c>
      <c r="AL45" s="2" t="s">
        <v>186</v>
      </c>
      <c r="AM45" s="1">
        <f t="shared" si="19"/>
        <v>0.72</v>
      </c>
      <c r="AN45" s="1">
        <v>6.0</v>
      </c>
    </row>
    <row r="46">
      <c r="A46" s="1" t="s">
        <v>362</v>
      </c>
      <c r="B46" s="1" t="s">
        <v>58</v>
      </c>
      <c r="C46" s="2" t="s">
        <v>388</v>
      </c>
      <c r="D46" s="1">
        <f t="shared" si="1"/>
        <v>4.31</v>
      </c>
      <c r="E46" s="2" t="s">
        <v>162</v>
      </c>
      <c r="F46" s="1">
        <f t="shared" si="2"/>
        <v>0.82</v>
      </c>
      <c r="G46" s="1" t="str">
        <f t="shared" si="3"/>
        <v>Very High</v>
      </c>
      <c r="H46" s="2" t="s">
        <v>389</v>
      </c>
      <c r="I46" s="1">
        <f t="shared" si="4"/>
        <v>14522.8</v>
      </c>
      <c r="J46" s="2" t="s">
        <v>128</v>
      </c>
      <c r="K46" s="1">
        <f t="shared" si="5"/>
        <v>0.74</v>
      </c>
      <c r="L46" s="2" t="s">
        <v>240</v>
      </c>
      <c r="M46" s="1">
        <f t="shared" si="6"/>
        <v>0.13</v>
      </c>
      <c r="N46" s="2" t="s">
        <v>186</v>
      </c>
      <c r="O46" s="1">
        <f t="shared" si="7"/>
        <v>0.72</v>
      </c>
      <c r="P46" s="5">
        <v>46074.0</v>
      </c>
      <c r="Q46" s="1">
        <f t="shared" si="8"/>
        <v>2.21</v>
      </c>
      <c r="R46" s="2" t="s">
        <v>69</v>
      </c>
      <c r="S46" s="1">
        <f t="shared" si="9"/>
        <v>0.06</v>
      </c>
      <c r="T46" s="2" t="s">
        <v>390</v>
      </c>
      <c r="U46" s="1">
        <f t="shared" si="10"/>
        <v>3.92</v>
      </c>
      <c r="V46" s="2" t="s">
        <v>324</v>
      </c>
      <c r="W46" s="1">
        <f t="shared" si="11"/>
        <v>0.68</v>
      </c>
      <c r="X46" s="2" t="s">
        <v>178</v>
      </c>
      <c r="Y46" s="1">
        <f t="shared" si="12"/>
        <v>0.19</v>
      </c>
      <c r="Z46" s="2" t="s">
        <v>391</v>
      </c>
      <c r="AA46" s="1">
        <f t="shared" si="13"/>
        <v>1.55</v>
      </c>
      <c r="AB46" s="2" t="s">
        <v>90</v>
      </c>
      <c r="AC46" s="1">
        <f t="shared" si="14"/>
        <v>0.33</v>
      </c>
      <c r="AD46" s="2" t="s">
        <v>69</v>
      </c>
      <c r="AE46" s="1">
        <f t="shared" si="15"/>
        <v>0.06</v>
      </c>
      <c r="AF46" s="5">
        <v>46061.0</v>
      </c>
      <c r="AG46" s="1">
        <f t="shared" si="16"/>
        <v>2.8</v>
      </c>
      <c r="AH46" s="2" t="s">
        <v>392</v>
      </c>
      <c r="AI46" s="1">
        <f t="shared" si="17"/>
        <v>-1.12</v>
      </c>
      <c r="AJ46" s="5">
        <v>46080.0</v>
      </c>
      <c r="AK46" s="1">
        <f t="shared" si="18"/>
        <v>2.27</v>
      </c>
      <c r="AL46" s="5">
        <v>46026.0</v>
      </c>
      <c r="AM46" s="1">
        <f t="shared" si="19"/>
        <v>1.4</v>
      </c>
      <c r="AN46" s="1">
        <v>6.0</v>
      </c>
    </row>
    <row r="47">
      <c r="A47" s="1" t="s">
        <v>366</v>
      </c>
      <c r="B47" s="1" t="s">
        <v>103</v>
      </c>
      <c r="C47" s="5">
        <v>46353.0</v>
      </c>
      <c r="D47" s="1">
        <f t="shared" si="1"/>
        <v>11.27</v>
      </c>
      <c r="E47" s="2" t="s">
        <v>394</v>
      </c>
      <c r="F47" s="1">
        <f t="shared" si="2"/>
        <v>0.77</v>
      </c>
      <c r="G47" s="1" t="str">
        <f t="shared" si="3"/>
        <v>High</v>
      </c>
      <c r="H47" s="2" t="s">
        <v>395</v>
      </c>
      <c r="I47" s="1">
        <f t="shared" si="4"/>
        <v>5175.94</v>
      </c>
      <c r="J47" s="2" t="s">
        <v>224</v>
      </c>
      <c r="K47" s="1">
        <f t="shared" si="5"/>
        <v>0.48</v>
      </c>
      <c r="L47" s="2" t="s">
        <v>149</v>
      </c>
      <c r="M47" s="1">
        <f t="shared" si="6"/>
        <v>0.11</v>
      </c>
      <c r="N47" s="2" t="s">
        <v>93</v>
      </c>
      <c r="O47" s="1">
        <f t="shared" si="7"/>
        <v>0.09</v>
      </c>
      <c r="P47" s="5">
        <v>46045.0</v>
      </c>
      <c r="Q47" s="1">
        <f t="shared" si="8"/>
        <v>1.23</v>
      </c>
      <c r="R47" s="2" t="s">
        <v>48</v>
      </c>
      <c r="S47" s="1">
        <f t="shared" si="9"/>
        <v>0.02</v>
      </c>
      <c r="T47" s="2" t="s">
        <v>358</v>
      </c>
      <c r="U47" s="1">
        <f t="shared" si="10"/>
        <v>1.95</v>
      </c>
      <c r="V47" s="2" t="s">
        <v>97</v>
      </c>
      <c r="W47" s="1">
        <f t="shared" si="11"/>
        <v>0.26</v>
      </c>
      <c r="X47" s="2" t="s">
        <v>93</v>
      </c>
      <c r="Y47" s="1">
        <f t="shared" si="12"/>
        <v>0.09</v>
      </c>
      <c r="Z47" s="2" t="s">
        <v>365</v>
      </c>
      <c r="AA47" s="1">
        <f t="shared" si="13"/>
        <v>0.23</v>
      </c>
      <c r="AB47" s="2" t="s">
        <v>78</v>
      </c>
      <c r="AC47" s="1">
        <f t="shared" si="14"/>
        <v>0.16</v>
      </c>
      <c r="AD47" s="2" t="s">
        <v>82</v>
      </c>
      <c r="AE47" s="1">
        <f t="shared" si="15"/>
        <v>0.03</v>
      </c>
      <c r="AF47" s="2" t="s">
        <v>376</v>
      </c>
      <c r="AG47" s="1">
        <f t="shared" si="16"/>
        <v>0.76</v>
      </c>
      <c r="AH47" s="2" t="s">
        <v>289</v>
      </c>
      <c r="AI47" s="1">
        <f t="shared" si="17"/>
        <v>-1.19</v>
      </c>
      <c r="AJ47" s="5">
        <v>46035.0</v>
      </c>
      <c r="AK47" s="1">
        <f t="shared" si="18"/>
        <v>1.13</v>
      </c>
      <c r="AL47" s="2" t="s">
        <v>396</v>
      </c>
      <c r="AM47" s="1">
        <f t="shared" si="19"/>
        <v>2.56</v>
      </c>
      <c r="AN47" s="1">
        <v>6.0</v>
      </c>
    </row>
    <row r="48">
      <c r="A48" s="1" t="s">
        <v>375</v>
      </c>
      <c r="B48" s="1" t="s">
        <v>143</v>
      </c>
      <c r="C48" s="5">
        <v>46035.0</v>
      </c>
      <c r="D48" s="1">
        <f t="shared" si="1"/>
        <v>1.13</v>
      </c>
      <c r="E48" s="2" t="s">
        <v>170</v>
      </c>
      <c r="F48" s="1">
        <f t="shared" si="2"/>
        <v>0.85</v>
      </c>
      <c r="G48" s="1" t="str">
        <f t="shared" si="3"/>
        <v>Very High</v>
      </c>
      <c r="H48" s="2" t="s">
        <v>397</v>
      </c>
      <c r="I48" s="1">
        <f t="shared" si="4"/>
        <v>31454.7</v>
      </c>
      <c r="J48" s="2" t="s">
        <v>394</v>
      </c>
      <c r="K48" s="1">
        <f t="shared" si="5"/>
        <v>0.77</v>
      </c>
      <c r="L48" s="2" t="s">
        <v>41</v>
      </c>
      <c r="M48" s="1">
        <f t="shared" si="6"/>
        <v>0.08</v>
      </c>
      <c r="N48" s="2" t="s">
        <v>365</v>
      </c>
      <c r="O48" s="1">
        <f t="shared" si="7"/>
        <v>0.23</v>
      </c>
      <c r="P48" s="2" t="s">
        <v>222</v>
      </c>
      <c r="Q48" s="1">
        <f t="shared" si="8"/>
        <v>2.94</v>
      </c>
      <c r="R48" s="2" t="s">
        <v>154</v>
      </c>
      <c r="S48" s="1">
        <f t="shared" si="9"/>
        <v>0.14</v>
      </c>
      <c r="T48" s="5">
        <v>46133.0</v>
      </c>
      <c r="U48" s="1">
        <f t="shared" si="10"/>
        <v>4.21</v>
      </c>
      <c r="V48" s="2" t="s">
        <v>42</v>
      </c>
      <c r="W48" s="1">
        <f t="shared" si="11"/>
        <v>0.18</v>
      </c>
      <c r="X48" s="2">
        <v>0.0</v>
      </c>
      <c r="Y48" s="1">
        <f t="shared" si="12"/>
        <v>0</v>
      </c>
      <c r="Z48" s="2" t="s">
        <v>69</v>
      </c>
      <c r="AA48" s="1">
        <f t="shared" si="13"/>
        <v>0.06</v>
      </c>
      <c r="AB48" s="2" t="s">
        <v>69</v>
      </c>
      <c r="AC48" s="1">
        <f t="shared" si="14"/>
        <v>0.06</v>
      </c>
      <c r="AD48" s="2" t="s">
        <v>181</v>
      </c>
      <c r="AE48" s="1">
        <f t="shared" si="15"/>
        <v>0.05</v>
      </c>
      <c r="AF48" s="2" t="s">
        <v>130</v>
      </c>
      <c r="AG48" s="1">
        <f t="shared" si="16"/>
        <v>0.34</v>
      </c>
      <c r="AH48" s="2" t="s">
        <v>399</v>
      </c>
      <c r="AI48" s="1">
        <f t="shared" si="17"/>
        <v>-3.87</v>
      </c>
      <c r="AJ48" s="2" t="s">
        <v>400</v>
      </c>
      <c r="AK48" s="1">
        <f t="shared" si="18"/>
        <v>2.43</v>
      </c>
      <c r="AL48" s="2" t="s">
        <v>401</v>
      </c>
      <c r="AM48" s="1">
        <f t="shared" si="19"/>
        <v>12.35</v>
      </c>
      <c r="AN48" s="1">
        <v>5.0</v>
      </c>
    </row>
    <row r="49">
      <c r="A49" s="1" t="s">
        <v>386</v>
      </c>
      <c r="B49" s="1" t="s">
        <v>143</v>
      </c>
      <c r="C49" s="2" t="s">
        <v>402</v>
      </c>
      <c r="D49" s="1">
        <f t="shared" si="1"/>
        <v>10.66</v>
      </c>
      <c r="E49" s="2" t="s">
        <v>64</v>
      </c>
      <c r="F49" s="1">
        <f t="shared" si="2"/>
        <v>0.87</v>
      </c>
      <c r="G49" s="1" t="str">
        <f t="shared" si="3"/>
        <v>Very High</v>
      </c>
      <c r="H49" s="2" t="s">
        <v>403</v>
      </c>
      <c r="I49" s="1">
        <f t="shared" si="4"/>
        <v>21676.3</v>
      </c>
      <c r="J49" s="2" t="s">
        <v>275</v>
      </c>
      <c r="K49" s="1">
        <f t="shared" si="5"/>
        <v>0.62</v>
      </c>
      <c r="L49" s="2" t="s">
        <v>45</v>
      </c>
      <c r="M49" s="1">
        <f t="shared" si="6"/>
        <v>0.24</v>
      </c>
      <c r="N49" s="2" t="s">
        <v>128</v>
      </c>
      <c r="O49" s="1">
        <f t="shared" si="7"/>
        <v>0.74</v>
      </c>
      <c r="P49" s="2" t="s">
        <v>404</v>
      </c>
      <c r="Q49" s="1">
        <f t="shared" si="8"/>
        <v>3.42</v>
      </c>
      <c r="R49" s="2" t="s">
        <v>82</v>
      </c>
      <c r="S49" s="1">
        <f t="shared" si="9"/>
        <v>0.03</v>
      </c>
      <c r="T49" s="5">
        <v>46161.0</v>
      </c>
      <c r="U49" s="1">
        <f t="shared" si="10"/>
        <v>5.19</v>
      </c>
      <c r="V49" s="2" t="s">
        <v>107</v>
      </c>
      <c r="W49" s="1">
        <f t="shared" si="11"/>
        <v>0.94</v>
      </c>
      <c r="X49" s="2" t="s">
        <v>68</v>
      </c>
      <c r="Y49" s="1">
        <f t="shared" si="12"/>
        <v>0.07</v>
      </c>
      <c r="Z49" s="5">
        <v>46053.0</v>
      </c>
      <c r="AA49" s="1">
        <f t="shared" si="13"/>
        <v>1.31</v>
      </c>
      <c r="AB49" s="2">
        <v>0.0</v>
      </c>
      <c r="AC49" s="1">
        <f t="shared" si="14"/>
        <v>0</v>
      </c>
      <c r="AD49" s="2" t="s">
        <v>240</v>
      </c>
      <c r="AE49" s="1">
        <f t="shared" si="15"/>
        <v>0.13</v>
      </c>
      <c r="AF49" s="2" t="s">
        <v>406</v>
      </c>
      <c r="AG49" s="1">
        <f t="shared" si="16"/>
        <v>2.46</v>
      </c>
      <c r="AH49" s="2" t="s">
        <v>407</v>
      </c>
      <c r="AI49" s="1">
        <f t="shared" si="17"/>
        <v>-2.73</v>
      </c>
      <c r="AJ49" s="2">
        <v>3.0</v>
      </c>
      <c r="AK49" s="1">
        <f t="shared" si="18"/>
        <v>3</v>
      </c>
      <c r="AL49" s="5">
        <v>46064.0</v>
      </c>
      <c r="AM49" s="1">
        <f t="shared" si="19"/>
        <v>2.11</v>
      </c>
      <c r="AN49" s="1">
        <v>5.0</v>
      </c>
    </row>
    <row r="50">
      <c r="A50" s="1" t="s">
        <v>393</v>
      </c>
      <c r="B50" s="1" t="s">
        <v>143</v>
      </c>
      <c r="C50" s="5">
        <v>46148.0</v>
      </c>
      <c r="D50" s="1">
        <f t="shared" si="1"/>
        <v>5.6</v>
      </c>
      <c r="E50" s="2" t="s">
        <v>249</v>
      </c>
      <c r="F50" s="1">
        <f t="shared" si="2"/>
        <v>0.92</v>
      </c>
      <c r="G50" s="1" t="str">
        <f t="shared" si="3"/>
        <v>Very High</v>
      </c>
      <c r="H50" s="2" t="s">
        <v>408</v>
      </c>
      <c r="I50" s="1">
        <f t="shared" si="4"/>
        <v>61413.6</v>
      </c>
      <c r="J50" s="5">
        <v>46040.0</v>
      </c>
      <c r="K50" s="1">
        <f t="shared" si="5"/>
        <v>1.18</v>
      </c>
      <c r="L50" s="2" t="s">
        <v>300</v>
      </c>
      <c r="M50" s="1">
        <f t="shared" si="6"/>
        <v>0.47</v>
      </c>
      <c r="N50" s="2" t="s">
        <v>394</v>
      </c>
      <c r="O50" s="1">
        <f t="shared" si="7"/>
        <v>0.77</v>
      </c>
      <c r="P50" s="5">
        <v>46059.0</v>
      </c>
      <c r="Q50" s="1">
        <f t="shared" si="8"/>
        <v>2.6</v>
      </c>
      <c r="R50" s="2" t="s">
        <v>45</v>
      </c>
      <c r="S50" s="1">
        <f t="shared" si="9"/>
        <v>0.24</v>
      </c>
      <c r="T50" s="2" t="s">
        <v>409</v>
      </c>
      <c r="U50" s="1">
        <f t="shared" si="10"/>
        <v>5.51</v>
      </c>
      <c r="V50" s="2" t="s">
        <v>410</v>
      </c>
      <c r="W50" s="1">
        <f t="shared" si="11"/>
        <v>2.38</v>
      </c>
      <c r="X50" s="2" t="s">
        <v>80</v>
      </c>
      <c r="Y50" s="1">
        <f t="shared" si="12"/>
        <v>0.01</v>
      </c>
      <c r="Z50" s="2" t="s">
        <v>130</v>
      </c>
      <c r="AA50" s="1">
        <f t="shared" si="13"/>
        <v>0.34</v>
      </c>
      <c r="AB50" s="5">
        <v>46030.0</v>
      </c>
      <c r="AC50" s="1">
        <f t="shared" si="14"/>
        <v>1.8</v>
      </c>
      <c r="AD50" s="2" t="s">
        <v>63</v>
      </c>
      <c r="AE50" s="1">
        <f t="shared" si="15"/>
        <v>0.25</v>
      </c>
      <c r="AF50" s="2" t="s">
        <v>411</v>
      </c>
      <c r="AG50" s="1">
        <f t="shared" si="16"/>
        <v>4.78</v>
      </c>
      <c r="AH50" s="2" t="s">
        <v>351</v>
      </c>
      <c r="AI50" s="1">
        <f t="shared" si="17"/>
        <v>-0.73</v>
      </c>
      <c r="AJ50" s="5">
        <v>46099.0</v>
      </c>
      <c r="AK50" s="1">
        <f t="shared" si="18"/>
        <v>3.18</v>
      </c>
      <c r="AL50" s="5">
        <v>46037.0</v>
      </c>
      <c r="AM50" s="1">
        <f t="shared" si="19"/>
        <v>1.15</v>
      </c>
      <c r="AN50" s="1">
        <v>5.0</v>
      </c>
    </row>
    <row r="51">
      <c r="A51" s="1" t="s">
        <v>398</v>
      </c>
      <c r="B51" s="1" t="s">
        <v>73</v>
      </c>
      <c r="C51" s="2" t="s">
        <v>412</v>
      </c>
      <c r="D51" s="1">
        <f t="shared" si="1"/>
        <v>0.86</v>
      </c>
      <c r="E51" s="2" t="s">
        <v>36</v>
      </c>
      <c r="F51" s="1">
        <f t="shared" si="2"/>
        <v>0.46</v>
      </c>
      <c r="G51" s="1" t="str">
        <f t="shared" si="3"/>
        <v>Low</v>
      </c>
      <c r="H51" s="2" t="s">
        <v>413</v>
      </c>
      <c r="I51" s="1">
        <f t="shared" si="4"/>
        <v>1433.17</v>
      </c>
      <c r="K51" s="1" t="str">
        <f t="shared" si="5"/>
        <v/>
      </c>
      <c r="M51" s="1" t="str">
        <f t="shared" si="6"/>
        <v/>
      </c>
      <c r="O51" s="1" t="str">
        <f t="shared" si="7"/>
        <v/>
      </c>
      <c r="Q51" s="1" t="str">
        <f t="shared" si="8"/>
        <v/>
      </c>
      <c r="S51" s="1" t="str">
        <f t="shared" si="9"/>
        <v/>
      </c>
      <c r="T51" s="5">
        <v>46072.0</v>
      </c>
      <c r="U51" s="1">
        <f t="shared" si="10"/>
        <v>2.19</v>
      </c>
      <c r="W51" s="1" t="str">
        <f t="shared" si="11"/>
        <v/>
      </c>
      <c r="Y51" s="1" t="str">
        <f t="shared" si="12"/>
        <v/>
      </c>
      <c r="AA51" s="1" t="str">
        <f t="shared" si="13"/>
        <v/>
      </c>
      <c r="AC51" s="1" t="str">
        <f t="shared" si="14"/>
        <v/>
      </c>
      <c r="AE51" s="1" t="str">
        <f t="shared" si="15"/>
        <v/>
      </c>
      <c r="AF51" s="2" t="s">
        <v>394</v>
      </c>
      <c r="AG51" s="1">
        <f t="shared" si="16"/>
        <v>0.77</v>
      </c>
      <c r="AH51" s="2" t="s">
        <v>414</v>
      </c>
      <c r="AI51" s="1">
        <f t="shared" si="17"/>
        <v>-1.42</v>
      </c>
      <c r="AJ51" s="5">
        <v>46049.0</v>
      </c>
      <c r="AK51" s="1">
        <f t="shared" si="18"/>
        <v>1.27</v>
      </c>
      <c r="AL51" s="2" t="s">
        <v>380</v>
      </c>
      <c r="AM51" s="1">
        <f t="shared" si="19"/>
        <v>2.84</v>
      </c>
      <c r="AN51" s="1">
        <v>2.0</v>
      </c>
    </row>
    <row r="52">
      <c r="A52" s="1" t="s">
        <v>405</v>
      </c>
      <c r="B52" s="1" t="s">
        <v>103</v>
      </c>
      <c r="C52" s="2" t="s">
        <v>68</v>
      </c>
      <c r="D52" s="1">
        <f t="shared" si="1"/>
        <v>0.07</v>
      </c>
      <c r="E52" s="2" t="s">
        <v>186</v>
      </c>
      <c r="F52" s="1">
        <f t="shared" si="2"/>
        <v>0.72</v>
      </c>
      <c r="G52" s="1" t="str">
        <f t="shared" si="3"/>
        <v>High</v>
      </c>
      <c r="H52" s="2" t="s">
        <v>416</v>
      </c>
      <c r="I52" s="1">
        <f t="shared" si="4"/>
        <v>7088.01</v>
      </c>
      <c r="J52" s="2" t="s">
        <v>96</v>
      </c>
      <c r="K52" s="1">
        <f t="shared" si="5"/>
        <v>0.64</v>
      </c>
      <c r="L52" s="2" t="s">
        <v>91</v>
      </c>
      <c r="M52" s="1">
        <f t="shared" si="6"/>
        <v>0.15</v>
      </c>
      <c r="N52" s="2" t="s">
        <v>154</v>
      </c>
      <c r="O52" s="1">
        <f t="shared" si="7"/>
        <v>0.14</v>
      </c>
      <c r="P52" s="2" t="s">
        <v>417</v>
      </c>
      <c r="Q52" s="1">
        <f t="shared" si="8"/>
        <v>1.47</v>
      </c>
      <c r="R52" s="2" t="s">
        <v>79</v>
      </c>
      <c r="S52" s="1">
        <f t="shared" si="9"/>
        <v>0.17</v>
      </c>
      <c r="T52" s="2" t="s">
        <v>216</v>
      </c>
      <c r="U52" s="1">
        <f t="shared" si="10"/>
        <v>2.57</v>
      </c>
      <c r="V52" s="2" t="s">
        <v>378</v>
      </c>
      <c r="W52" s="1">
        <f t="shared" si="11"/>
        <v>0.4</v>
      </c>
      <c r="X52" s="2" t="s">
        <v>80</v>
      </c>
      <c r="Y52" s="1">
        <f t="shared" si="12"/>
        <v>0.01</v>
      </c>
      <c r="Z52" s="2" t="s">
        <v>88</v>
      </c>
      <c r="AA52" s="1">
        <f t="shared" si="13"/>
        <v>0.52</v>
      </c>
      <c r="AB52" s="2" t="s">
        <v>114</v>
      </c>
      <c r="AC52" s="1">
        <f t="shared" si="14"/>
        <v>0.1</v>
      </c>
      <c r="AD52" s="2">
        <v>0.0</v>
      </c>
      <c r="AE52" s="1">
        <f t="shared" si="15"/>
        <v>0</v>
      </c>
      <c r="AF52" s="6">
        <v>46025.0</v>
      </c>
      <c r="AG52" s="1">
        <f t="shared" si="16"/>
        <v>1.03</v>
      </c>
      <c r="AH52" s="2" t="s">
        <v>418</v>
      </c>
      <c r="AI52" s="1">
        <f t="shared" si="17"/>
        <v>-1.54</v>
      </c>
      <c r="AJ52" s="2" t="s">
        <v>419</v>
      </c>
      <c r="AK52" s="1">
        <f t="shared" si="18"/>
        <v>1.49</v>
      </c>
      <c r="AL52" s="2" t="s">
        <v>271</v>
      </c>
      <c r="AM52" s="1">
        <f t="shared" si="19"/>
        <v>2.49</v>
      </c>
      <c r="AN52" s="1">
        <v>5.0</v>
      </c>
    </row>
    <row r="53">
      <c r="A53" s="1" t="s">
        <v>415</v>
      </c>
      <c r="B53" s="1" t="s">
        <v>103</v>
      </c>
      <c r="C53" s="5">
        <v>46323.0</v>
      </c>
      <c r="D53" s="1">
        <f t="shared" si="1"/>
        <v>10.28</v>
      </c>
      <c r="E53" s="2" t="s">
        <v>163</v>
      </c>
      <c r="F53" s="1">
        <f t="shared" si="2"/>
        <v>0.71</v>
      </c>
      <c r="G53" s="1" t="str">
        <f t="shared" si="3"/>
        <v>High</v>
      </c>
      <c r="H53" s="2" t="s">
        <v>420</v>
      </c>
      <c r="I53" s="1">
        <f t="shared" si="4"/>
        <v>6085.89</v>
      </c>
      <c r="J53" s="2" t="s">
        <v>293</v>
      </c>
      <c r="K53" s="1">
        <f t="shared" si="5"/>
        <v>0.35</v>
      </c>
      <c r="L53" s="2" t="s">
        <v>92</v>
      </c>
      <c r="M53" s="1">
        <f t="shared" si="6"/>
        <v>0.12</v>
      </c>
      <c r="N53" s="2" t="s">
        <v>92</v>
      </c>
      <c r="O53" s="1">
        <f t="shared" si="7"/>
        <v>0.12</v>
      </c>
      <c r="P53" s="2" t="s">
        <v>412</v>
      </c>
      <c r="Q53" s="1">
        <f t="shared" si="8"/>
        <v>0.86</v>
      </c>
      <c r="R53" s="2" t="s">
        <v>49</v>
      </c>
      <c r="S53" s="1">
        <f t="shared" si="9"/>
        <v>0.04</v>
      </c>
      <c r="T53" s="2" t="s">
        <v>381</v>
      </c>
      <c r="U53" s="1">
        <f t="shared" si="10"/>
        <v>1.53</v>
      </c>
      <c r="V53" s="2" t="s">
        <v>62</v>
      </c>
      <c r="W53" s="1">
        <f t="shared" si="11"/>
        <v>0.22</v>
      </c>
      <c r="X53" s="2" t="s">
        <v>149</v>
      </c>
      <c r="Y53" s="1">
        <f t="shared" si="12"/>
        <v>0.11</v>
      </c>
      <c r="Z53" s="2" t="s">
        <v>78</v>
      </c>
      <c r="AA53" s="1">
        <f t="shared" si="13"/>
        <v>0.16</v>
      </c>
      <c r="AB53" s="2" t="s">
        <v>48</v>
      </c>
      <c r="AC53" s="1">
        <f t="shared" si="14"/>
        <v>0.02</v>
      </c>
      <c r="AD53" s="2" t="s">
        <v>181</v>
      </c>
      <c r="AE53" s="1">
        <f t="shared" si="15"/>
        <v>0.05</v>
      </c>
      <c r="AF53" s="2" t="s">
        <v>157</v>
      </c>
      <c r="AG53" s="1">
        <f t="shared" si="16"/>
        <v>0.56</v>
      </c>
      <c r="AH53" s="2" t="s">
        <v>421</v>
      </c>
      <c r="AI53" s="1">
        <f t="shared" si="17"/>
        <v>-0.97</v>
      </c>
      <c r="AJ53" s="2" t="s">
        <v>159</v>
      </c>
      <c r="AK53" s="1">
        <f t="shared" si="18"/>
        <v>0.88</v>
      </c>
      <c r="AL53" s="2" t="s">
        <v>422</v>
      </c>
      <c r="AM53" s="1">
        <f t="shared" si="19"/>
        <v>2.74</v>
      </c>
      <c r="AN53" s="1">
        <v>6.0</v>
      </c>
    </row>
    <row r="54">
      <c r="A54" s="1" t="s">
        <v>423</v>
      </c>
      <c r="B54" s="1" t="s">
        <v>103</v>
      </c>
      <c r="C54" s="2" t="s">
        <v>424</v>
      </c>
      <c r="D54" s="1">
        <f t="shared" si="1"/>
        <v>15.49</v>
      </c>
      <c r="E54" s="2" t="s">
        <v>59</v>
      </c>
      <c r="F54" s="1">
        <f t="shared" si="2"/>
        <v>0.73</v>
      </c>
      <c r="G54" s="1" t="str">
        <f t="shared" si="3"/>
        <v>High</v>
      </c>
      <c r="H54" s="2" t="s">
        <v>425</v>
      </c>
      <c r="I54" s="1">
        <f t="shared" si="4"/>
        <v>5192.88</v>
      </c>
      <c r="J54" s="2" t="s">
        <v>38</v>
      </c>
      <c r="K54" s="1">
        <f t="shared" si="5"/>
        <v>0.3</v>
      </c>
      <c r="L54" s="2" t="s">
        <v>38</v>
      </c>
      <c r="M54" s="1">
        <f t="shared" si="6"/>
        <v>0.3</v>
      </c>
      <c r="N54" s="2" t="s">
        <v>45</v>
      </c>
      <c r="O54" s="1">
        <f t="shared" si="7"/>
        <v>0.24</v>
      </c>
      <c r="P54" s="6">
        <v>46030.0</v>
      </c>
      <c r="Q54" s="1">
        <f t="shared" si="8"/>
        <v>1.08</v>
      </c>
      <c r="R54" s="2" t="s">
        <v>42</v>
      </c>
      <c r="S54" s="1">
        <f t="shared" si="9"/>
        <v>0.18</v>
      </c>
      <c r="T54" s="5">
        <v>46070.0</v>
      </c>
      <c r="U54" s="1">
        <f t="shared" si="10"/>
        <v>2.17</v>
      </c>
      <c r="V54" s="2" t="s">
        <v>310</v>
      </c>
      <c r="W54" s="1">
        <f t="shared" si="11"/>
        <v>0.32</v>
      </c>
      <c r="X54" s="2" t="s">
        <v>38</v>
      </c>
      <c r="Y54" s="1">
        <f t="shared" si="12"/>
        <v>0.3</v>
      </c>
      <c r="Z54" s="2" t="s">
        <v>234</v>
      </c>
      <c r="AA54" s="1">
        <f t="shared" si="13"/>
        <v>1.41</v>
      </c>
      <c r="AB54" s="2" t="s">
        <v>149</v>
      </c>
      <c r="AC54" s="1">
        <f t="shared" si="14"/>
        <v>0.11</v>
      </c>
      <c r="AD54" s="2" t="s">
        <v>69</v>
      </c>
      <c r="AE54" s="1">
        <f t="shared" si="15"/>
        <v>0.06</v>
      </c>
      <c r="AF54" s="5">
        <v>46055.0</v>
      </c>
      <c r="AG54" s="1">
        <f t="shared" si="16"/>
        <v>2.2</v>
      </c>
      <c r="AH54" s="2" t="s">
        <v>82</v>
      </c>
      <c r="AI54" s="1">
        <f t="shared" si="17"/>
        <v>0.03</v>
      </c>
      <c r="AJ54" s="5">
        <v>46047.0</v>
      </c>
      <c r="AK54" s="1">
        <f t="shared" si="18"/>
        <v>1.25</v>
      </c>
      <c r="AL54" s="2" t="s">
        <v>225</v>
      </c>
      <c r="AM54" s="1">
        <f t="shared" si="19"/>
        <v>0.99</v>
      </c>
      <c r="AN54" s="1">
        <v>5.0</v>
      </c>
    </row>
    <row r="55">
      <c r="A55" s="1" t="s">
        <v>426</v>
      </c>
      <c r="B55" s="1" t="s">
        <v>73</v>
      </c>
      <c r="C55" s="2" t="s">
        <v>427</v>
      </c>
      <c r="D55" s="1">
        <f t="shared" si="1"/>
        <v>80.72</v>
      </c>
      <c r="E55" s="2" t="s">
        <v>267</v>
      </c>
      <c r="F55" s="1">
        <f t="shared" si="2"/>
        <v>0.69</v>
      </c>
      <c r="G55" s="1" t="str">
        <f t="shared" si="3"/>
        <v>Medium</v>
      </c>
      <c r="H55" s="2" t="s">
        <v>428</v>
      </c>
      <c r="I55" s="1">
        <f t="shared" si="4"/>
        <v>2930.33</v>
      </c>
      <c r="J55" s="2" t="s">
        <v>324</v>
      </c>
      <c r="K55" s="1">
        <f t="shared" si="5"/>
        <v>0.68</v>
      </c>
      <c r="L55" s="2" t="s">
        <v>41</v>
      </c>
      <c r="M55" s="1">
        <f t="shared" si="6"/>
        <v>0.08</v>
      </c>
      <c r="N55" s="2" t="s">
        <v>79</v>
      </c>
      <c r="O55" s="1">
        <f t="shared" si="7"/>
        <v>0.17</v>
      </c>
      <c r="P55" s="6">
        <v>46024.0</v>
      </c>
      <c r="Q55" s="1">
        <f t="shared" si="8"/>
        <v>1.02</v>
      </c>
      <c r="R55" s="2" t="s">
        <v>49</v>
      </c>
      <c r="S55" s="1">
        <f t="shared" si="9"/>
        <v>0.04</v>
      </c>
      <c r="T55" s="5">
        <v>46068.0</v>
      </c>
      <c r="U55" s="1">
        <f t="shared" si="10"/>
        <v>2.15</v>
      </c>
      <c r="V55" s="2" t="s">
        <v>199</v>
      </c>
      <c r="W55" s="1">
        <f t="shared" si="11"/>
        <v>0.38</v>
      </c>
      <c r="X55" s="2">
        <v>0.0</v>
      </c>
      <c r="Y55" s="1">
        <f t="shared" si="12"/>
        <v>0</v>
      </c>
      <c r="Z55" s="2">
        <v>0.0</v>
      </c>
      <c r="AA55" s="1">
        <f t="shared" si="13"/>
        <v>0</v>
      </c>
      <c r="AB55" s="2" t="s">
        <v>48</v>
      </c>
      <c r="AC55" s="1">
        <f t="shared" si="14"/>
        <v>0.02</v>
      </c>
      <c r="AD55" s="2" t="s">
        <v>91</v>
      </c>
      <c r="AE55" s="1">
        <f t="shared" si="15"/>
        <v>0.15</v>
      </c>
      <c r="AF55" s="2" t="s">
        <v>157</v>
      </c>
      <c r="AG55" s="1">
        <f t="shared" si="16"/>
        <v>0.56</v>
      </c>
      <c r="AH55" s="2" t="s">
        <v>429</v>
      </c>
      <c r="AI55" s="1">
        <f t="shared" si="17"/>
        <v>-1.59</v>
      </c>
      <c r="AJ55" s="5">
        <v>46046.0</v>
      </c>
      <c r="AK55" s="1">
        <f t="shared" si="18"/>
        <v>1.24</v>
      </c>
      <c r="AL55" s="2" t="s">
        <v>430</v>
      </c>
      <c r="AM55" s="1">
        <f t="shared" si="19"/>
        <v>3.86</v>
      </c>
      <c r="AN55" s="1">
        <v>5.0</v>
      </c>
    </row>
    <row r="56">
      <c r="A56" s="1" t="s">
        <v>431</v>
      </c>
      <c r="B56" s="1" t="s">
        <v>103</v>
      </c>
      <c r="C56" s="5">
        <v>46176.0</v>
      </c>
      <c r="D56" s="1">
        <f t="shared" si="1"/>
        <v>6.3</v>
      </c>
      <c r="E56" s="2" t="s">
        <v>118</v>
      </c>
      <c r="F56" s="1">
        <f t="shared" si="2"/>
        <v>0.66</v>
      </c>
      <c r="G56" s="1" t="str">
        <f t="shared" si="3"/>
        <v>Medium</v>
      </c>
      <c r="H56" s="2" t="s">
        <v>432</v>
      </c>
      <c r="I56" s="1">
        <f t="shared" si="4"/>
        <v>3696.33</v>
      </c>
      <c r="J56" s="2" t="s">
        <v>132</v>
      </c>
      <c r="K56" s="1">
        <f t="shared" si="5"/>
        <v>0.44</v>
      </c>
      <c r="L56" s="2" t="s">
        <v>66</v>
      </c>
      <c r="M56" s="1">
        <f t="shared" si="6"/>
        <v>0.21</v>
      </c>
      <c r="N56" s="2" t="s">
        <v>378</v>
      </c>
      <c r="O56" s="1">
        <f t="shared" si="7"/>
        <v>0.4</v>
      </c>
      <c r="P56" s="2" t="s">
        <v>344</v>
      </c>
      <c r="Q56" s="1">
        <f t="shared" si="8"/>
        <v>0.84</v>
      </c>
      <c r="R56" s="2" t="s">
        <v>154</v>
      </c>
      <c r="S56" s="1">
        <f t="shared" si="9"/>
        <v>0.14</v>
      </c>
      <c r="T56" s="6">
        <v>46060.0</v>
      </c>
      <c r="U56" s="1">
        <f t="shared" si="10"/>
        <v>2.07</v>
      </c>
      <c r="V56" s="2" t="s">
        <v>81</v>
      </c>
      <c r="W56" s="1">
        <f t="shared" si="11"/>
        <v>0.27</v>
      </c>
      <c r="X56" s="2" t="s">
        <v>91</v>
      </c>
      <c r="Y56" s="1">
        <f t="shared" si="12"/>
        <v>0.15</v>
      </c>
      <c r="Z56" s="2" t="s">
        <v>49</v>
      </c>
      <c r="AA56" s="1">
        <f t="shared" si="13"/>
        <v>0.04</v>
      </c>
      <c r="AB56" s="2" t="s">
        <v>149</v>
      </c>
      <c r="AC56" s="1">
        <f t="shared" si="14"/>
        <v>0.11</v>
      </c>
      <c r="AD56" s="2" t="s">
        <v>181</v>
      </c>
      <c r="AE56" s="1">
        <f t="shared" si="15"/>
        <v>0.05</v>
      </c>
      <c r="AF56" s="2" t="s">
        <v>348</v>
      </c>
      <c r="AG56" s="1">
        <f t="shared" si="16"/>
        <v>0.61</v>
      </c>
      <c r="AH56" s="2" t="s">
        <v>171</v>
      </c>
      <c r="AI56" s="1">
        <f t="shared" si="17"/>
        <v>-1.46</v>
      </c>
      <c r="AJ56" s="5">
        <v>46024.0</v>
      </c>
      <c r="AK56" s="1">
        <f t="shared" si="18"/>
        <v>1.2</v>
      </c>
      <c r="AL56" s="2" t="s">
        <v>433</v>
      </c>
      <c r="AM56" s="1">
        <f t="shared" si="19"/>
        <v>3.37</v>
      </c>
      <c r="AN56" s="1">
        <v>5.0</v>
      </c>
    </row>
    <row r="57">
      <c r="A57" s="1" t="s">
        <v>434</v>
      </c>
      <c r="B57" s="1" t="s">
        <v>73</v>
      </c>
      <c r="C57" s="2" t="s">
        <v>128</v>
      </c>
      <c r="D57" s="1">
        <f t="shared" si="1"/>
        <v>0.74</v>
      </c>
      <c r="E57" s="2" t="s">
        <v>191</v>
      </c>
      <c r="F57" s="1">
        <f t="shared" si="2"/>
        <v>0.58</v>
      </c>
      <c r="G57" s="1" t="str">
        <f t="shared" si="3"/>
        <v>Medium</v>
      </c>
      <c r="H57" s="2" t="s">
        <v>435</v>
      </c>
      <c r="I57" s="1">
        <f t="shared" si="4"/>
        <v>24064</v>
      </c>
      <c r="J57" s="2" t="s">
        <v>81</v>
      </c>
      <c r="K57" s="1">
        <f t="shared" si="5"/>
        <v>0.27</v>
      </c>
      <c r="L57" s="2" t="s">
        <v>48</v>
      </c>
      <c r="M57" s="1">
        <f t="shared" si="6"/>
        <v>0.02</v>
      </c>
      <c r="N57" s="2" t="s">
        <v>97</v>
      </c>
      <c r="O57" s="1">
        <f t="shared" si="7"/>
        <v>0.26</v>
      </c>
      <c r="P57" s="5">
        <v>46098.0</v>
      </c>
      <c r="Q57" s="1">
        <f t="shared" si="8"/>
        <v>3.17</v>
      </c>
      <c r="R57" s="2" t="s">
        <v>62</v>
      </c>
      <c r="S57" s="1">
        <f t="shared" si="9"/>
        <v>0.22</v>
      </c>
      <c r="T57" s="2" t="s">
        <v>436</v>
      </c>
      <c r="U57" s="1">
        <f t="shared" si="10"/>
        <v>3.97</v>
      </c>
      <c r="V57" s="2" t="s">
        <v>240</v>
      </c>
      <c r="W57" s="1">
        <f t="shared" si="11"/>
        <v>0.13</v>
      </c>
      <c r="X57" s="2" t="s">
        <v>91</v>
      </c>
      <c r="Y57" s="1">
        <f t="shared" si="12"/>
        <v>0.15</v>
      </c>
      <c r="Z57" s="5">
        <v>46082.0</v>
      </c>
      <c r="AA57" s="1">
        <f t="shared" si="13"/>
        <v>3.1</v>
      </c>
      <c r="AB57" s="6">
        <v>46023.0</v>
      </c>
      <c r="AC57" s="1">
        <f t="shared" si="14"/>
        <v>1.01</v>
      </c>
      <c r="AD57" s="2" t="s">
        <v>48</v>
      </c>
      <c r="AE57" s="1">
        <f t="shared" si="15"/>
        <v>0.02</v>
      </c>
      <c r="AF57" s="5">
        <v>46116.0</v>
      </c>
      <c r="AG57" s="1">
        <f t="shared" si="16"/>
        <v>4.4</v>
      </c>
      <c r="AH57" s="2" t="s">
        <v>132</v>
      </c>
      <c r="AI57" s="1">
        <f t="shared" si="17"/>
        <v>0.44</v>
      </c>
      <c r="AJ57" s="2" t="s">
        <v>437</v>
      </c>
      <c r="AK57" s="1">
        <f t="shared" si="18"/>
        <v>2.29</v>
      </c>
      <c r="AL57" s="2" t="s">
        <v>438</v>
      </c>
      <c r="AM57" s="1">
        <f t="shared" si="19"/>
        <v>0.9</v>
      </c>
      <c r="AN57" s="1" t="s">
        <v>164</v>
      </c>
    </row>
    <row r="58">
      <c r="A58" s="1" t="s">
        <v>439</v>
      </c>
      <c r="B58" s="1" t="s">
        <v>73</v>
      </c>
      <c r="C58" s="5">
        <v>46186.0</v>
      </c>
      <c r="D58" s="1">
        <f t="shared" si="1"/>
        <v>6.13</v>
      </c>
      <c r="E58" s="2" t="s">
        <v>298</v>
      </c>
      <c r="F58" s="1">
        <f t="shared" si="2"/>
        <v>0.39</v>
      </c>
      <c r="G58" s="1" t="str">
        <f t="shared" si="3"/>
        <v>Low</v>
      </c>
      <c r="H58" s="2" t="s">
        <v>440</v>
      </c>
      <c r="I58" s="1">
        <f t="shared" si="4"/>
        <v>439.73</v>
      </c>
      <c r="J58" s="2" t="s">
        <v>114</v>
      </c>
      <c r="K58" s="1">
        <f t="shared" si="5"/>
        <v>0.1</v>
      </c>
      <c r="L58" s="2" t="s">
        <v>42</v>
      </c>
      <c r="M58" s="1">
        <f t="shared" si="6"/>
        <v>0.18</v>
      </c>
      <c r="N58" s="2" t="s">
        <v>69</v>
      </c>
      <c r="O58" s="1">
        <f t="shared" si="7"/>
        <v>0.06</v>
      </c>
      <c r="P58" s="2" t="s">
        <v>82</v>
      </c>
      <c r="Q58" s="1">
        <f t="shared" si="8"/>
        <v>0.03</v>
      </c>
      <c r="R58" s="2" t="s">
        <v>80</v>
      </c>
      <c r="S58" s="1">
        <f t="shared" si="9"/>
        <v>0.01</v>
      </c>
      <c r="T58" s="2" t="s">
        <v>201</v>
      </c>
      <c r="U58" s="1">
        <f t="shared" si="10"/>
        <v>0.42</v>
      </c>
      <c r="V58" s="2" t="s">
        <v>68</v>
      </c>
      <c r="W58" s="1">
        <f t="shared" si="11"/>
        <v>0.07</v>
      </c>
      <c r="X58" s="2" t="s">
        <v>42</v>
      </c>
      <c r="Y58" s="1">
        <f t="shared" si="12"/>
        <v>0.18</v>
      </c>
      <c r="Z58" s="2" t="s">
        <v>93</v>
      </c>
      <c r="AA58" s="1">
        <f t="shared" si="13"/>
        <v>0.09</v>
      </c>
      <c r="AB58" s="2" t="s">
        <v>94</v>
      </c>
      <c r="AC58" s="1">
        <f t="shared" si="14"/>
        <v>0.93</v>
      </c>
      <c r="AD58" s="2" t="s">
        <v>48</v>
      </c>
      <c r="AE58" s="1">
        <f t="shared" si="15"/>
        <v>0.02</v>
      </c>
      <c r="AF58" s="5">
        <v>46025.0</v>
      </c>
      <c r="AG58" s="1">
        <f t="shared" si="16"/>
        <v>1.3</v>
      </c>
      <c r="AH58" s="2" t="s">
        <v>159</v>
      </c>
      <c r="AI58" s="1">
        <f t="shared" si="17"/>
        <v>0.88</v>
      </c>
      <c r="AJ58" s="2" t="s">
        <v>45</v>
      </c>
      <c r="AK58" s="1">
        <f t="shared" si="18"/>
        <v>0.24</v>
      </c>
      <c r="AL58" s="2" t="s">
        <v>310</v>
      </c>
      <c r="AM58" s="1">
        <f t="shared" si="19"/>
        <v>0.32</v>
      </c>
      <c r="AN58" s="1">
        <v>5.0</v>
      </c>
    </row>
    <row r="59">
      <c r="A59" s="1" t="s">
        <v>441</v>
      </c>
      <c r="B59" s="1" t="s">
        <v>143</v>
      </c>
      <c r="C59" s="5">
        <v>46051.0</v>
      </c>
      <c r="D59" s="1">
        <f t="shared" si="1"/>
        <v>1.29</v>
      </c>
      <c r="E59" s="2" t="s">
        <v>170</v>
      </c>
      <c r="F59" s="1">
        <f t="shared" si="2"/>
        <v>0.85</v>
      </c>
      <c r="G59" s="1" t="str">
        <f t="shared" si="3"/>
        <v>Very High</v>
      </c>
      <c r="H59" s="2" t="s">
        <v>442</v>
      </c>
      <c r="I59" s="1">
        <f t="shared" si="4"/>
        <v>17304.4</v>
      </c>
      <c r="K59" s="1" t="str">
        <f t="shared" si="5"/>
        <v/>
      </c>
      <c r="M59" s="1" t="str">
        <f t="shared" si="6"/>
        <v/>
      </c>
      <c r="O59" s="1" t="str">
        <f t="shared" si="7"/>
        <v/>
      </c>
      <c r="Q59" s="1" t="str">
        <f t="shared" si="8"/>
        <v/>
      </c>
      <c r="S59" s="1" t="str">
        <f t="shared" si="9"/>
        <v/>
      </c>
      <c r="T59" s="2" t="s">
        <v>140</v>
      </c>
      <c r="U59" s="1">
        <f t="shared" si="10"/>
        <v>6.86</v>
      </c>
      <c r="W59" s="1" t="str">
        <f t="shared" si="11"/>
        <v/>
      </c>
      <c r="Y59" s="1" t="str">
        <f t="shared" si="12"/>
        <v/>
      </c>
      <c r="AA59" s="1" t="str">
        <f t="shared" si="13"/>
        <v/>
      </c>
      <c r="AC59" s="1" t="str">
        <f t="shared" si="14"/>
        <v/>
      </c>
      <c r="AE59" s="1" t="str">
        <f t="shared" si="15"/>
        <v/>
      </c>
      <c r="AF59" s="2" t="s">
        <v>443</v>
      </c>
      <c r="AG59" s="1">
        <f t="shared" si="16"/>
        <v>10.53</v>
      </c>
      <c r="AH59" s="2" t="s">
        <v>444</v>
      </c>
      <c r="AI59" s="1">
        <f t="shared" si="17"/>
        <v>3.67</v>
      </c>
      <c r="AJ59" s="2" t="s">
        <v>445</v>
      </c>
      <c r="AK59" s="1">
        <f t="shared" si="18"/>
        <v>3.96</v>
      </c>
      <c r="AL59" s="2" t="s">
        <v>250</v>
      </c>
      <c r="AM59" s="1">
        <f t="shared" si="19"/>
        <v>0.65</v>
      </c>
      <c r="AN59" s="1" t="s">
        <v>210</v>
      </c>
    </row>
    <row r="60">
      <c r="A60" s="1" t="s">
        <v>446</v>
      </c>
      <c r="B60" s="1" t="s">
        <v>73</v>
      </c>
      <c r="C60" s="2" t="s">
        <v>447</v>
      </c>
      <c r="D60" s="1">
        <f t="shared" si="1"/>
        <v>91.73</v>
      </c>
      <c r="E60" s="2" t="s">
        <v>248</v>
      </c>
      <c r="F60" s="1">
        <f t="shared" si="2"/>
        <v>0.43</v>
      </c>
      <c r="G60" s="1" t="str">
        <f t="shared" si="3"/>
        <v>Low</v>
      </c>
      <c r="H60" s="2" t="s">
        <v>448</v>
      </c>
      <c r="I60" s="1">
        <f t="shared" si="4"/>
        <v>379.38</v>
      </c>
      <c r="J60" s="2" t="s">
        <v>285</v>
      </c>
      <c r="K60" s="1">
        <f t="shared" si="5"/>
        <v>0.31</v>
      </c>
      <c r="L60" s="2" t="s">
        <v>92</v>
      </c>
      <c r="M60" s="1">
        <f t="shared" si="6"/>
        <v>0.12</v>
      </c>
      <c r="N60" s="2" t="s">
        <v>36</v>
      </c>
      <c r="O60" s="1">
        <f t="shared" si="7"/>
        <v>0.46</v>
      </c>
      <c r="P60" s="2" t="s">
        <v>68</v>
      </c>
      <c r="Q60" s="1">
        <f t="shared" si="8"/>
        <v>0.07</v>
      </c>
      <c r="R60" s="2">
        <v>0.0</v>
      </c>
      <c r="S60" s="1">
        <f t="shared" si="9"/>
        <v>0</v>
      </c>
      <c r="T60" s="6">
        <v>46024.0</v>
      </c>
      <c r="U60" s="1">
        <f t="shared" si="10"/>
        <v>1.02</v>
      </c>
      <c r="V60" s="2" t="s">
        <v>285</v>
      </c>
      <c r="W60" s="1">
        <f t="shared" si="11"/>
        <v>0.31</v>
      </c>
      <c r="X60" s="2" t="s">
        <v>92</v>
      </c>
      <c r="Y60" s="1">
        <f t="shared" si="12"/>
        <v>0.12</v>
      </c>
      <c r="Z60" s="2" t="s">
        <v>181</v>
      </c>
      <c r="AA60" s="1">
        <f t="shared" si="13"/>
        <v>0.05</v>
      </c>
      <c r="AB60" s="2" t="s">
        <v>49</v>
      </c>
      <c r="AC60" s="1">
        <f t="shared" si="14"/>
        <v>0.04</v>
      </c>
      <c r="AD60" s="2" t="s">
        <v>69</v>
      </c>
      <c r="AE60" s="1">
        <f t="shared" si="15"/>
        <v>0.06</v>
      </c>
      <c r="AF60" s="2" t="s">
        <v>191</v>
      </c>
      <c r="AG60" s="1">
        <f t="shared" si="16"/>
        <v>0.58</v>
      </c>
      <c r="AH60" s="2" t="s">
        <v>449</v>
      </c>
      <c r="AI60" s="1">
        <f t="shared" si="17"/>
        <v>-0.44</v>
      </c>
      <c r="AJ60" s="2" t="s">
        <v>83</v>
      </c>
      <c r="AK60" s="1">
        <f t="shared" si="18"/>
        <v>0.59</v>
      </c>
      <c r="AL60" s="2" t="s">
        <v>450</v>
      </c>
      <c r="AM60" s="1">
        <f t="shared" si="19"/>
        <v>1.75</v>
      </c>
      <c r="AN60" s="1">
        <v>6.0</v>
      </c>
    </row>
    <row r="61">
      <c r="A61" s="1" t="s">
        <v>451</v>
      </c>
      <c r="B61" s="1" t="s">
        <v>134</v>
      </c>
      <c r="C61" s="2" t="s">
        <v>159</v>
      </c>
      <c r="D61" s="1">
        <f t="shared" si="1"/>
        <v>0.88</v>
      </c>
      <c r="E61" s="2" t="s">
        <v>186</v>
      </c>
      <c r="F61" s="1">
        <f t="shared" si="2"/>
        <v>0.72</v>
      </c>
      <c r="G61" s="1" t="str">
        <f t="shared" si="3"/>
        <v>High</v>
      </c>
      <c r="H61" s="2" t="s">
        <v>452</v>
      </c>
      <c r="I61" s="1">
        <f t="shared" si="4"/>
        <v>4201.37</v>
      </c>
      <c r="J61" s="2" t="s">
        <v>65</v>
      </c>
      <c r="K61" s="1">
        <f t="shared" si="5"/>
        <v>0.55</v>
      </c>
      <c r="L61" s="2" t="s">
        <v>40</v>
      </c>
      <c r="M61" s="1">
        <f t="shared" si="6"/>
        <v>0.2</v>
      </c>
      <c r="N61" s="2" t="s">
        <v>201</v>
      </c>
      <c r="O61" s="1">
        <f t="shared" si="7"/>
        <v>0.42</v>
      </c>
      <c r="P61" s="6">
        <v>46028.0</v>
      </c>
      <c r="Q61" s="1">
        <f t="shared" si="8"/>
        <v>1.06</v>
      </c>
      <c r="R61" s="2" t="s">
        <v>275</v>
      </c>
      <c r="S61" s="1">
        <f t="shared" si="9"/>
        <v>0.62</v>
      </c>
      <c r="T61" s="5">
        <v>46062.0</v>
      </c>
      <c r="U61" s="1">
        <f t="shared" si="10"/>
        <v>2.9</v>
      </c>
      <c r="V61" s="2" t="s">
        <v>203</v>
      </c>
      <c r="W61" s="1">
        <f t="shared" si="11"/>
        <v>0.28</v>
      </c>
      <c r="X61" s="2" t="s">
        <v>93</v>
      </c>
      <c r="Y61" s="1">
        <f t="shared" si="12"/>
        <v>0.09</v>
      </c>
      <c r="Z61" s="5">
        <v>46025.0</v>
      </c>
      <c r="AA61" s="1">
        <f t="shared" si="13"/>
        <v>1.3</v>
      </c>
      <c r="AB61" s="2" t="s">
        <v>250</v>
      </c>
      <c r="AC61" s="1">
        <f t="shared" si="14"/>
        <v>0.65</v>
      </c>
      <c r="AD61" s="2" t="s">
        <v>49</v>
      </c>
      <c r="AE61" s="1">
        <f t="shared" si="15"/>
        <v>0.04</v>
      </c>
      <c r="AF61" s="2" t="s">
        <v>453</v>
      </c>
      <c r="AG61" s="1">
        <f t="shared" si="16"/>
        <v>2.37</v>
      </c>
      <c r="AH61" s="2" t="s">
        <v>454</v>
      </c>
      <c r="AI61" s="1">
        <f t="shared" si="17"/>
        <v>-0.52</v>
      </c>
      <c r="AJ61" s="2" t="s">
        <v>119</v>
      </c>
      <c r="AK61" s="1">
        <f t="shared" si="18"/>
        <v>1.67</v>
      </c>
      <c r="AL61" s="5">
        <v>46044.0</v>
      </c>
      <c r="AM61" s="1">
        <f t="shared" si="19"/>
        <v>1.22</v>
      </c>
      <c r="AN61" s="1">
        <v>5.0</v>
      </c>
    </row>
    <row r="62">
      <c r="A62" s="1" t="s">
        <v>455</v>
      </c>
      <c r="B62" s="1" t="s">
        <v>143</v>
      </c>
      <c r="C62" s="2" t="s">
        <v>456</v>
      </c>
      <c r="D62" s="1">
        <f t="shared" si="1"/>
        <v>5.41</v>
      </c>
      <c r="E62" s="2" t="s">
        <v>159</v>
      </c>
      <c r="F62" s="1">
        <f t="shared" si="2"/>
        <v>0.88</v>
      </c>
      <c r="G62" s="1" t="str">
        <f t="shared" si="3"/>
        <v>Very High</v>
      </c>
      <c r="H62" s="2" t="s">
        <v>457</v>
      </c>
      <c r="I62" s="1">
        <f t="shared" si="4"/>
        <v>50960.2</v>
      </c>
      <c r="K62" s="1" t="str">
        <f t="shared" si="5"/>
        <v/>
      </c>
      <c r="M62" s="1" t="str">
        <f t="shared" si="6"/>
        <v/>
      </c>
      <c r="O62" s="1" t="str">
        <f t="shared" si="7"/>
        <v/>
      </c>
      <c r="Q62" s="1" t="str">
        <f t="shared" si="8"/>
        <v/>
      </c>
      <c r="S62" s="1" t="str">
        <f t="shared" si="9"/>
        <v/>
      </c>
      <c r="T62" s="2" t="s">
        <v>458</v>
      </c>
      <c r="U62" s="1">
        <f t="shared" si="10"/>
        <v>5.87</v>
      </c>
      <c r="W62" s="1" t="str">
        <f t="shared" si="11"/>
        <v/>
      </c>
      <c r="Y62" s="1" t="str">
        <f t="shared" si="12"/>
        <v/>
      </c>
      <c r="AA62" s="1" t="str">
        <f t="shared" si="13"/>
        <v/>
      </c>
      <c r="AC62" s="1" t="str">
        <f t="shared" si="14"/>
        <v/>
      </c>
      <c r="AE62" s="1" t="str">
        <f t="shared" si="15"/>
        <v/>
      </c>
      <c r="AF62" s="2" t="s">
        <v>459</v>
      </c>
      <c r="AG62" s="1">
        <f t="shared" si="16"/>
        <v>13.44</v>
      </c>
      <c r="AH62" s="2" t="s">
        <v>460</v>
      </c>
      <c r="AI62" s="1">
        <f t="shared" si="17"/>
        <v>7.57</v>
      </c>
      <c r="AJ62" s="2" t="s">
        <v>461</v>
      </c>
      <c r="AK62" s="1">
        <f t="shared" si="18"/>
        <v>3.39</v>
      </c>
      <c r="AL62" s="2" t="s">
        <v>132</v>
      </c>
      <c r="AM62" s="1">
        <f t="shared" si="19"/>
        <v>0.44</v>
      </c>
      <c r="AN62" s="1" t="s">
        <v>210</v>
      </c>
    </row>
    <row r="63">
      <c r="A63" s="1" t="s">
        <v>462</v>
      </c>
      <c r="B63" s="1" t="s">
        <v>143</v>
      </c>
      <c r="C63" s="2" t="s">
        <v>463</v>
      </c>
      <c r="D63" s="1">
        <f t="shared" si="1"/>
        <v>63.98</v>
      </c>
      <c r="E63" s="2" t="s">
        <v>131</v>
      </c>
      <c r="F63" s="1">
        <f t="shared" si="2"/>
        <v>0.89</v>
      </c>
      <c r="G63" s="1" t="str">
        <f t="shared" si="3"/>
        <v>Very High</v>
      </c>
      <c r="H63" s="2" t="s">
        <v>464</v>
      </c>
      <c r="I63" s="1">
        <f t="shared" si="4"/>
        <v>45430.3</v>
      </c>
      <c r="J63" s="5">
        <v>46045.0</v>
      </c>
      <c r="K63" s="1">
        <f t="shared" si="5"/>
        <v>1.23</v>
      </c>
      <c r="L63" s="2" t="s">
        <v>81</v>
      </c>
      <c r="M63" s="1">
        <f t="shared" si="6"/>
        <v>0.27</v>
      </c>
      <c r="N63" s="2" t="s">
        <v>465</v>
      </c>
      <c r="O63" s="1">
        <f t="shared" si="7"/>
        <v>0.53</v>
      </c>
      <c r="P63" s="2" t="s">
        <v>184</v>
      </c>
      <c r="Q63" s="1">
        <f t="shared" si="8"/>
        <v>2.71</v>
      </c>
      <c r="R63" s="2" t="s">
        <v>178</v>
      </c>
      <c r="S63" s="1">
        <f t="shared" si="9"/>
        <v>0.19</v>
      </c>
      <c r="T63" s="5">
        <v>46156.0</v>
      </c>
      <c r="U63" s="1">
        <f t="shared" si="10"/>
        <v>5.14</v>
      </c>
      <c r="V63" s="2" t="s">
        <v>119</v>
      </c>
      <c r="W63" s="1">
        <f t="shared" si="11"/>
        <v>1.67</v>
      </c>
      <c r="X63" s="2" t="s">
        <v>78</v>
      </c>
      <c r="Y63" s="1">
        <f t="shared" si="12"/>
        <v>0.16</v>
      </c>
      <c r="Z63" s="2" t="s">
        <v>466</v>
      </c>
      <c r="AA63" s="1">
        <f t="shared" si="13"/>
        <v>0.96</v>
      </c>
      <c r="AB63" s="2" t="s">
        <v>149</v>
      </c>
      <c r="AC63" s="1">
        <f t="shared" si="14"/>
        <v>0.11</v>
      </c>
      <c r="AD63" s="2" t="s">
        <v>66</v>
      </c>
      <c r="AE63" s="1">
        <f t="shared" si="15"/>
        <v>0.21</v>
      </c>
      <c r="AF63" s="5">
        <v>46092.0</v>
      </c>
      <c r="AG63" s="1">
        <f t="shared" si="16"/>
        <v>3.11</v>
      </c>
      <c r="AH63" s="2" t="s">
        <v>467</v>
      </c>
      <c r="AI63" s="1">
        <f t="shared" si="17"/>
        <v>-2.04</v>
      </c>
      <c r="AJ63" s="2" t="s">
        <v>125</v>
      </c>
      <c r="AK63" s="1">
        <f t="shared" si="18"/>
        <v>2.97</v>
      </c>
      <c r="AL63" s="2" t="s">
        <v>468</v>
      </c>
      <c r="AM63" s="1">
        <f t="shared" si="19"/>
        <v>1.66</v>
      </c>
      <c r="AN63" s="1">
        <v>6.0</v>
      </c>
    </row>
    <row r="64">
      <c r="A64" s="1" t="s">
        <v>469</v>
      </c>
      <c r="B64" s="1" t="s">
        <v>103</v>
      </c>
      <c r="C64" s="2" t="s">
        <v>45</v>
      </c>
      <c r="D64" s="1">
        <f t="shared" si="1"/>
        <v>0.24</v>
      </c>
      <c r="F64" s="1" t="str">
        <f t="shared" si="2"/>
        <v/>
      </c>
      <c r="G64" s="1" t="str">
        <f t="shared" si="3"/>
        <v>Unknown</v>
      </c>
      <c r="I64" s="1" t="str">
        <f t="shared" si="4"/>
        <v/>
      </c>
      <c r="J64" s="2" t="s">
        <v>68</v>
      </c>
      <c r="K64" s="1">
        <f t="shared" si="5"/>
        <v>0.07</v>
      </c>
      <c r="L64" s="2" t="s">
        <v>69</v>
      </c>
      <c r="M64" s="1">
        <f t="shared" si="6"/>
        <v>0.06</v>
      </c>
      <c r="N64" s="2" t="s">
        <v>36</v>
      </c>
      <c r="O64" s="1">
        <f t="shared" si="7"/>
        <v>0.46</v>
      </c>
      <c r="P64" s="2" t="s">
        <v>470</v>
      </c>
      <c r="Q64" s="1">
        <f t="shared" si="8"/>
        <v>1.58</v>
      </c>
      <c r="R64" s="2" t="s">
        <v>79</v>
      </c>
      <c r="S64" s="1">
        <f t="shared" si="9"/>
        <v>0.17</v>
      </c>
      <c r="T64" s="2" t="s">
        <v>290</v>
      </c>
      <c r="U64" s="1">
        <f t="shared" si="10"/>
        <v>2.34</v>
      </c>
      <c r="V64" s="2" t="s">
        <v>68</v>
      </c>
      <c r="W64" s="1">
        <f t="shared" si="11"/>
        <v>0.07</v>
      </c>
      <c r="X64" s="2" t="s">
        <v>69</v>
      </c>
      <c r="Y64" s="1">
        <f t="shared" si="12"/>
        <v>0.06</v>
      </c>
      <c r="Z64" s="2" t="s">
        <v>471</v>
      </c>
      <c r="AA64" s="1">
        <f t="shared" si="13"/>
        <v>95.16</v>
      </c>
      <c r="AB64" s="2" t="s">
        <v>472</v>
      </c>
      <c r="AC64" s="1">
        <f t="shared" si="14"/>
        <v>16.07</v>
      </c>
      <c r="AD64" s="2">
        <v>0.0</v>
      </c>
      <c r="AE64" s="1">
        <f t="shared" si="15"/>
        <v>0</v>
      </c>
      <c r="AF64" s="2" t="s">
        <v>473</v>
      </c>
      <c r="AG64" s="1">
        <f t="shared" si="16"/>
        <v>111.35</v>
      </c>
      <c r="AH64" s="2" t="s">
        <v>474</v>
      </c>
      <c r="AI64" s="1">
        <f t="shared" si="17"/>
        <v>109.01</v>
      </c>
      <c r="AJ64" s="2" t="s">
        <v>475</v>
      </c>
      <c r="AK64" s="1">
        <f t="shared" si="18"/>
        <v>1.35</v>
      </c>
      <c r="AL64" s="2" t="s">
        <v>48</v>
      </c>
      <c r="AM64" s="1">
        <f t="shared" si="19"/>
        <v>0.02</v>
      </c>
      <c r="AN64" s="1" t="s">
        <v>164</v>
      </c>
    </row>
    <row r="65">
      <c r="A65" s="1" t="s">
        <v>476</v>
      </c>
      <c r="B65" s="1" t="s">
        <v>134</v>
      </c>
      <c r="C65" s="2" t="s">
        <v>81</v>
      </c>
      <c r="D65" s="1">
        <f t="shared" si="1"/>
        <v>0.27</v>
      </c>
      <c r="F65" s="1" t="str">
        <f t="shared" si="2"/>
        <v/>
      </c>
      <c r="G65" s="1" t="str">
        <f t="shared" si="3"/>
        <v>Unknown</v>
      </c>
      <c r="I65" s="1" t="str">
        <f t="shared" si="4"/>
        <v/>
      </c>
      <c r="J65" s="2" t="s">
        <v>167</v>
      </c>
      <c r="K65" s="1">
        <f t="shared" si="5"/>
        <v>0.75</v>
      </c>
      <c r="L65" s="2" t="s">
        <v>250</v>
      </c>
      <c r="M65" s="1">
        <f t="shared" si="6"/>
        <v>0.65</v>
      </c>
      <c r="N65" s="2" t="s">
        <v>92</v>
      </c>
      <c r="O65" s="1">
        <f t="shared" si="7"/>
        <v>0.12</v>
      </c>
      <c r="P65" s="2" t="s">
        <v>477</v>
      </c>
      <c r="Q65" s="1">
        <f t="shared" si="8"/>
        <v>2.39</v>
      </c>
      <c r="R65" s="2" t="s">
        <v>162</v>
      </c>
      <c r="S65" s="1">
        <f t="shared" si="9"/>
        <v>0.82</v>
      </c>
      <c r="T65" s="2" t="s">
        <v>478</v>
      </c>
      <c r="U65" s="1">
        <f t="shared" si="10"/>
        <v>4.73</v>
      </c>
      <c r="V65" s="2" t="s">
        <v>178</v>
      </c>
      <c r="W65" s="1">
        <f t="shared" si="11"/>
        <v>0.19</v>
      </c>
      <c r="X65" s="2" t="s">
        <v>82</v>
      </c>
      <c r="Y65" s="1">
        <f t="shared" si="12"/>
        <v>0.03</v>
      </c>
      <c r="Z65" s="2" t="s">
        <v>59</v>
      </c>
      <c r="AA65" s="1">
        <f t="shared" si="13"/>
        <v>0.73</v>
      </c>
      <c r="AB65" s="2" t="s">
        <v>201</v>
      </c>
      <c r="AC65" s="1">
        <f t="shared" si="14"/>
        <v>0.42</v>
      </c>
      <c r="AD65" s="2">
        <v>0.0</v>
      </c>
      <c r="AE65" s="1">
        <f t="shared" si="15"/>
        <v>0</v>
      </c>
      <c r="AF65" s="2" t="s">
        <v>379</v>
      </c>
      <c r="AG65" s="1">
        <f t="shared" si="16"/>
        <v>1.37</v>
      </c>
      <c r="AH65" s="2" t="s">
        <v>479</v>
      </c>
      <c r="AI65" s="1">
        <f t="shared" si="17"/>
        <v>-3.36</v>
      </c>
      <c r="AJ65" s="2" t="s">
        <v>480</v>
      </c>
      <c r="AK65" s="1">
        <f t="shared" si="18"/>
        <v>2.73</v>
      </c>
      <c r="AL65" s="2" t="s">
        <v>481</v>
      </c>
      <c r="AM65" s="1">
        <f t="shared" si="19"/>
        <v>3.45</v>
      </c>
      <c r="AN65" s="1">
        <v>5.0</v>
      </c>
    </row>
    <row r="66">
      <c r="A66" s="1" t="s">
        <v>482</v>
      </c>
      <c r="B66" s="1" t="s">
        <v>73</v>
      </c>
      <c r="C66" s="2" t="s">
        <v>263</v>
      </c>
      <c r="D66" s="1">
        <f t="shared" si="1"/>
        <v>1.63</v>
      </c>
      <c r="E66" s="2" t="s">
        <v>254</v>
      </c>
      <c r="F66" s="1">
        <f t="shared" si="2"/>
        <v>0.67</v>
      </c>
      <c r="G66" s="1" t="str">
        <f t="shared" si="3"/>
        <v>Medium</v>
      </c>
      <c r="H66" s="2" t="s">
        <v>483</v>
      </c>
      <c r="I66" s="1">
        <f t="shared" si="4"/>
        <v>11989</v>
      </c>
      <c r="J66" s="2" t="s">
        <v>465</v>
      </c>
      <c r="K66" s="1">
        <f t="shared" si="5"/>
        <v>0.53</v>
      </c>
      <c r="L66" s="2" t="s">
        <v>240</v>
      </c>
      <c r="M66" s="1">
        <f t="shared" si="6"/>
        <v>0.13</v>
      </c>
      <c r="N66" s="2" t="s">
        <v>44</v>
      </c>
      <c r="O66" s="1">
        <f t="shared" si="7"/>
        <v>0.79</v>
      </c>
      <c r="P66" s="2" t="s">
        <v>248</v>
      </c>
      <c r="Q66" s="1">
        <f t="shared" si="8"/>
        <v>0.43</v>
      </c>
      <c r="R66" s="2" t="s">
        <v>149</v>
      </c>
      <c r="S66" s="1">
        <f t="shared" si="9"/>
        <v>0.11</v>
      </c>
      <c r="T66" s="6">
        <v>46055.0</v>
      </c>
      <c r="U66" s="1">
        <f t="shared" si="10"/>
        <v>2.02</v>
      </c>
      <c r="V66" s="2" t="s">
        <v>63</v>
      </c>
      <c r="W66" s="1">
        <f t="shared" si="11"/>
        <v>0.25</v>
      </c>
      <c r="X66" s="5">
        <v>46087.0</v>
      </c>
      <c r="Y66" s="1">
        <f t="shared" si="12"/>
        <v>3.6</v>
      </c>
      <c r="Z66" s="2" t="s">
        <v>484</v>
      </c>
      <c r="AA66" s="1">
        <f t="shared" si="13"/>
        <v>19.5</v>
      </c>
      <c r="AB66" s="2" t="s">
        <v>485</v>
      </c>
      <c r="AC66" s="1">
        <f t="shared" si="14"/>
        <v>2.93</v>
      </c>
      <c r="AD66" s="2" t="s">
        <v>82</v>
      </c>
      <c r="AE66" s="1">
        <f t="shared" si="15"/>
        <v>0.03</v>
      </c>
      <c r="AF66" s="2" t="s">
        <v>486</v>
      </c>
      <c r="AG66" s="1">
        <f t="shared" si="16"/>
        <v>26.31</v>
      </c>
      <c r="AH66" s="2" t="s">
        <v>487</v>
      </c>
      <c r="AI66" s="1">
        <f t="shared" si="17"/>
        <v>24.29</v>
      </c>
      <c r="AJ66" s="5">
        <v>46038.0</v>
      </c>
      <c r="AK66" s="1">
        <f t="shared" si="18"/>
        <v>1.16</v>
      </c>
      <c r="AL66" s="2" t="s">
        <v>41</v>
      </c>
      <c r="AM66" s="1">
        <f t="shared" si="19"/>
        <v>0.08</v>
      </c>
      <c r="AN66" s="1" t="s">
        <v>164</v>
      </c>
    </row>
    <row r="67">
      <c r="A67" s="1" t="s">
        <v>488</v>
      </c>
      <c r="B67" s="1" t="s">
        <v>73</v>
      </c>
      <c r="C67" s="2" t="s">
        <v>489</v>
      </c>
      <c r="D67" s="1">
        <f t="shared" si="1"/>
        <v>1.79</v>
      </c>
      <c r="E67" s="2" t="s">
        <v>132</v>
      </c>
      <c r="F67" s="1">
        <f t="shared" si="2"/>
        <v>0.44</v>
      </c>
      <c r="G67" s="1" t="str">
        <f t="shared" si="3"/>
        <v>Low</v>
      </c>
      <c r="H67" s="2" t="s">
        <v>490</v>
      </c>
      <c r="I67" s="1">
        <f t="shared" si="4"/>
        <v>505.76</v>
      </c>
      <c r="J67" s="2" t="s">
        <v>36</v>
      </c>
      <c r="K67" s="1">
        <f t="shared" si="5"/>
        <v>0.46</v>
      </c>
      <c r="L67" s="2" t="s">
        <v>181</v>
      </c>
      <c r="M67" s="1">
        <f t="shared" si="6"/>
        <v>0.05</v>
      </c>
      <c r="N67" s="2" t="s">
        <v>40</v>
      </c>
      <c r="O67" s="1">
        <f t="shared" si="7"/>
        <v>0.2</v>
      </c>
      <c r="P67" s="2" t="s">
        <v>66</v>
      </c>
      <c r="Q67" s="1">
        <f t="shared" si="8"/>
        <v>0.21</v>
      </c>
      <c r="R67" s="2" t="s">
        <v>41</v>
      </c>
      <c r="S67" s="1">
        <f t="shared" si="9"/>
        <v>0.08</v>
      </c>
      <c r="T67" s="6">
        <v>46025.0</v>
      </c>
      <c r="U67" s="1">
        <f t="shared" si="10"/>
        <v>1.03</v>
      </c>
      <c r="V67" s="2" t="s">
        <v>365</v>
      </c>
      <c r="W67" s="1">
        <f t="shared" si="11"/>
        <v>0.23</v>
      </c>
      <c r="X67" s="2" t="s">
        <v>49</v>
      </c>
      <c r="Y67" s="1">
        <f t="shared" si="12"/>
        <v>0.04</v>
      </c>
      <c r="Z67" s="2" t="s">
        <v>40</v>
      </c>
      <c r="AA67" s="1">
        <f t="shared" si="13"/>
        <v>0.2</v>
      </c>
      <c r="AB67" s="2" t="s">
        <v>310</v>
      </c>
      <c r="AC67" s="1">
        <f t="shared" si="14"/>
        <v>0.32</v>
      </c>
      <c r="AD67" s="2" t="s">
        <v>82</v>
      </c>
      <c r="AE67" s="1">
        <f t="shared" si="15"/>
        <v>0.03</v>
      </c>
      <c r="AF67" s="2" t="s">
        <v>162</v>
      </c>
      <c r="AG67" s="1">
        <f t="shared" si="16"/>
        <v>0.82</v>
      </c>
      <c r="AH67" s="2" t="s">
        <v>491</v>
      </c>
      <c r="AI67" s="1">
        <f t="shared" si="17"/>
        <v>-0.21</v>
      </c>
      <c r="AJ67" s="2" t="s">
        <v>77</v>
      </c>
      <c r="AK67" s="1">
        <f t="shared" si="18"/>
        <v>0.6</v>
      </c>
      <c r="AL67" s="5">
        <v>46047.0</v>
      </c>
      <c r="AM67" s="1">
        <f t="shared" si="19"/>
        <v>1.25</v>
      </c>
      <c r="AN67" s="1">
        <v>5.0</v>
      </c>
    </row>
    <row r="68">
      <c r="A68" s="1" t="s">
        <v>492</v>
      </c>
      <c r="B68" s="1" t="s">
        <v>33</v>
      </c>
      <c r="C68" s="2" t="s">
        <v>349</v>
      </c>
      <c r="D68" s="1">
        <f t="shared" si="1"/>
        <v>4.36</v>
      </c>
      <c r="E68" s="2" t="s">
        <v>167</v>
      </c>
      <c r="F68" s="1">
        <f t="shared" si="2"/>
        <v>0.75</v>
      </c>
      <c r="G68" s="1" t="str">
        <f t="shared" si="3"/>
        <v>High</v>
      </c>
      <c r="H68" s="2" t="s">
        <v>493</v>
      </c>
      <c r="I68" s="1">
        <f t="shared" si="4"/>
        <v>3710.7</v>
      </c>
      <c r="J68" s="2" t="s">
        <v>298</v>
      </c>
      <c r="K68" s="1">
        <f t="shared" si="5"/>
        <v>0.39</v>
      </c>
      <c r="L68" s="2" t="s">
        <v>40</v>
      </c>
      <c r="M68" s="1">
        <f t="shared" si="6"/>
        <v>0.2</v>
      </c>
      <c r="N68" s="2" t="s">
        <v>114</v>
      </c>
      <c r="O68" s="1">
        <f t="shared" si="7"/>
        <v>0.1</v>
      </c>
      <c r="P68" s="2" t="s">
        <v>111</v>
      </c>
      <c r="Q68" s="1">
        <f t="shared" si="8"/>
        <v>0.83</v>
      </c>
      <c r="R68" s="2" t="s">
        <v>48</v>
      </c>
      <c r="S68" s="1">
        <f t="shared" si="9"/>
        <v>0.02</v>
      </c>
      <c r="T68" s="2" t="s">
        <v>470</v>
      </c>
      <c r="U68" s="1">
        <f t="shared" si="10"/>
        <v>1.58</v>
      </c>
      <c r="V68" s="2" t="s">
        <v>92</v>
      </c>
      <c r="W68" s="1">
        <f t="shared" si="11"/>
        <v>0.12</v>
      </c>
      <c r="X68" s="2" t="s">
        <v>302</v>
      </c>
      <c r="Y68" s="1">
        <f t="shared" si="12"/>
        <v>0.36</v>
      </c>
      <c r="Z68" s="2" t="s">
        <v>348</v>
      </c>
      <c r="AA68" s="1">
        <f t="shared" si="13"/>
        <v>0.61</v>
      </c>
      <c r="AB68" s="2" t="s">
        <v>181</v>
      </c>
      <c r="AC68" s="1">
        <f t="shared" si="14"/>
        <v>0.05</v>
      </c>
      <c r="AD68" s="2" t="s">
        <v>49</v>
      </c>
      <c r="AE68" s="1">
        <f t="shared" si="15"/>
        <v>0.04</v>
      </c>
      <c r="AF68" s="5">
        <v>46039.0</v>
      </c>
      <c r="AG68" s="1">
        <f t="shared" si="16"/>
        <v>1.17</v>
      </c>
      <c r="AH68" s="2" t="s">
        <v>494</v>
      </c>
      <c r="AI68" s="1">
        <f t="shared" si="17"/>
        <v>-0.41</v>
      </c>
      <c r="AJ68" s="2" t="s">
        <v>215</v>
      </c>
      <c r="AK68" s="1">
        <f t="shared" si="18"/>
        <v>0.91</v>
      </c>
      <c r="AL68" s="2" t="s">
        <v>475</v>
      </c>
      <c r="AM68" s="1">
        <f t="shared" si="19"/>
        <v>1.35</v>
      </c>
      <c r="AN68" s="1" t="s">
        <v>124</v>
      </c>
    </row>
    <row r="69">
      <c r="A69" s="1" t="s">
        <v>495</v>
      </c>
      <c r="B69" s="1" t="s">
        <v>143</v>
      </c>
      <c r="C69" s="2" t="s">
        <v>496</v>
      </c>
      <c r="D69" s="1">
        <f t="shared" si="1"/>
        <v>82.8</v>
      </c>
      <c r="E69" s="2" t="s">
        <v>215</v>
      </c>
      <c r="F69" s="1">
        <f t="shared" si="2"/>
        <v>0.91</v>
      </c>
      <c r="G69" s="1" t="str">
        <f t="shared" si="3"/>
        <v>Very High</v>
      </c>
      <c r="H69" s="2" t="s">
        <v>497</v>
      </c>
      <c r="I69" s="1">
        <f t="shared" si="4"/>
        <v>46822.4</v>
      </c>
      <c r="J69" s="5">
        <v>46023.0</v>
      </c>
      <c r="K69" s="1">
        <f t="shared" si="5"/>
        <v>1.1</v>
      </c>
      <c r="L69" s="2" t="s">
        <v>154</v>
      </c>
      <c r="M69" s="1">
        <f t="shared" si="6"/>
        <v>0.14</v>
      </c>
      <c r="N69" s="2" t="s">
        <v>224</v>
      </c>
      <c r="O69" s="1">
        <f t="shared" si="7"/>
        <v>0.48</v>
      </c>
      <c r="P69" s="5">
        <v>46109.0</v>
      </c>
      <c r="Q69" s="1">
        <f t="shared" si="8"/>
        <v>3.28</v>
      </c>
      <c r="R69" s="2" t="s">
        <v>181</v>
      </c>
      <c r="S69" s="1">
        <f t="shared" si="9"/>
        <v>0.05</v>
      </c>
      <c r="T69" s="5">
        <v>46145.0</v>
      </c>
      <c r="U69" s="1">
        <f t="shared" si="10"/>
        <v>5.3</v>
      </c>
      <c r="V69" s="5">
        <v>46045.0</v>
      </c>
      <c r="W69" s="1">
        <f t="shared" si="11"/>
        <v>1.23</v>
      </c>
      <c r="X69" s="2" t="s">
        <v>69</v>
      </c>
      <c r="Y69" s="1">
        <f t="shared" si="12"/>
        <v>0.06</v>
      </c>
      <c r="Z69" s="2" t="s">
        <v>324</v>
      </c>
      <c r="AA69" s="1">
        <f t="shared" si="13"/>
        <v>0.68</v>
      </c>
      <c r="AB69" s="2" t="s">
        <v>68</v>
      </c>
      <c r="AC69" s="1">
        <f t="shared" si="14"/>
        <v>0.07</v>
      </c>
      <c r="AD69" s="2" t="s">
        <v>45</v>
      </c>
      <c r="AE69" s="1">
        <f t="shared" si="15"/>
        <v>0.24</v>
      </c>
      <c r="AF69" s="5">
        <v>46080.0</v>
      </c>
      <c r="AG69" s="1">
        <f t="shared" si="16"/>
        <v>2.27</v>
      </c>
      <c r="AH69" s="2" t="s">
        <v>498</v>
      </c>
      <c r="AI69" s="1">
        <f t="shared" si="17"/>
        <v>-3.02</v>
      </c>
      <c r="AJ69" s="6">
        <v>46087.0</v>
      </c>
      <c r="AK69" s="1">
        <f t="shared" si="18"/>
        <v>3.06</v>
      </c>
      <c r="AL69" s="2" t="s">
        <v>499</v>
      </c>
      <c r="AM69" s="1">
        <f t="shared" si="19"/>
        <v>2.33</v>
      </c>
      <c r="AN69" s="1">
        <v>5.0</v>
      </c>
    </row>
    <row r="70">
      <c r="A70" s="1" t="s">
        <v>500</v>
      </c>
      <c r="B70" s="1" t="s">
        <v>73</v>
      </c>
      <c r="C70" s="2" t="s">
        <v>501</v>
      </c>
      <c r="D70" s="1">
        <f t="shared" si="1"/>
        <v>25.37</v>
      </c>
      <c r="E70" s="2" t="s">
        <v>138</v>
      </c>
      <c r="F70" s="1">
        <f t="shared" si="2"/>
        <v>0.57</v>
      </c>
      <c r="G70" s="1" t="str">
        <f t="shared" si="3"/>
        <v>Medium</v>
      </c>
      <c r="H70" s="2" t="s">
        <v>502</v>
      </c>
      <c r="I70" s="1">
        <f t="shared" si="4"/>
        <v>1627.9</v>
      </c>
      <c r="J70" s="2" t="s">
        <v>157</v>
      </c>
      <c r="K70" s="1">
        <f t="shared" si="5"/>
        <v>0.56</v>
      </c>
      <c r="L70" s="2" t="s">
        <v>68</v>
      </c>
      <c r="M70" s="1">
        <f t="shared" si="6"/>
        <v>0.07</v>
      </c>
      <c r="N70" s="2" t="s">
        <v>250</v>
      </c>
      <c r="O70" s="1">
        <f t="shared" si="7"/>
        <v>0.65</v>
      </c>
      <c r="P70" s="2" t="s">
        <v>248</v>
      </c>
      <c r="Q70" s="1">
        <f t="shared" si="8"/>
        <v>0.43</v>
      </c>
      <c r="R70" s="2" t="s">
        <v>178</v>
      </c>
      <c r="S70" s="1">
        <f t="shared" si="9"/>
        <v>0.19</v>
      </c>
      <c r="T70" s="2" t="s">
        <v>503</v>
      </c>
      <c r="U70" s="1">
        <f t="shared" si="10"/>
        <v>1.97</v>
      </c>
      <c r="V70" s="2" t="s">
        <v>254</v>
      </c>
      <c r="W70" s="1">
        <f t="shared" si="11"/>
        <v>0.67</v>
      </c>
      <c r="X70" s="2" t="s">
        <v>97</v>
      </c>
      <c r="Y70" s="1">
        <f t="shared" si="12"/>
        <v>0.26</v>
      </c>
      <c r="Z70" s="2" t="s">
        <v>67</v>
      </c>
      <c r="AA70" s="1">
        <f t="shared" si="13"/>
        <v>0.29</v>
      </c>
      <c r="AB70" s="2" t="s">
        <v>69</v>
      </c>
      <c r="AC70" s="1">
        <f t="shared" si="14"/>
        <v>0.06</v>
      </c>
      <c r="AD70" s="2" t="s">
        <v>68</v>
      </c>
      <c r="AE70" s="1">
        <f t="shared" si="15"/>
        <v>0.07</v>
      </c>
      <c r="AF70" s="2" t="s">
        <v>475</v>
      </c>
      <c r="AG70" s="1">
        <f t="shared" si="16"/>
        <v>1.35</v>
      </c>
      <c r="AH70" s="2" t="s">
        <v>504</v>
      </c>
      <c r="AI70" s="1">
        <f t="shared" si="17"/>
        <v>-0.62</v>
      </c>
      <c r="AJ70" s="5">
        <v>46036.0</v>
      </c>
      <c r="AK70" s="1">
        <f t="shared" si="18"/>
        <v>1.14</v>
      </c>
      <c r="AL70" s="2" t="s">
        <v>317</v>
      </c>
      <c r="AM70" s="1">
        <f t="shared" si="19"/>
        <v>1.46</v>
      </c>
      <c r="AN70" s="1">
        <v>6.0</v>
      </c>
    </row>
    <row r="71">
      <c r="A71" s="1" t="s">
        <v>505</v>
      </c>
      <c r="B71" s="1" t="s">
        <v>143</v>
      </c>
      <c r="C71" s="5">
        <v>46338.0</v>
      </c>
      <c r="D71" s="1">
        <f t="shared" si="1"/>
        <v>11.12</v>
      </c>
      <c r="E71" s="2" t="s">
        <v>412</v>
      </c>
      <c r="F71" s="1">
        <f t="shared" si="2"/>
        <v>0.86</v>
      </c>
      <c r="G71" s="1" t="str">
        <f t="shared" si="3"/>
        <v>Very High</v>
      </c>
      <c r="H71" s="2" t="s">
        <v>506</v>
      </c>
      <c r="I71" s="1">
        <f t="shared" si="4"/>
        <v>25987.4</v>
      </c>
      <c r="J71" s="6">
        <v>46029.0</v>
      </c>
      <c r="K71" s="1">
        <f t="shared" si="5"/>
        <v>1.07</v>
      </c>
      <c r="L71" s="2" t="s">
        <v>293</v>
      </c>
      <c r="M71" s="1">
        <f t="shared" si="6"/>
        <v>0.35</v>
      </c>
      <c r="N71" s="2" t="s">
        <v>45</v>
      </c>
      <c r="O71" s="1">
        <f t="shared" si="7"/>
        <v>0.24</v>
      </c>
      <c r="P71" s="2" t="s">
        <v>209</v>
      </c>
      <c r="Q71" s="1">
        <f t="shared" si="8"/>
        <v>2.58</v>
      </c>
      <c r="R71" s="2" t="s">
        <v>41</v>
      </c>
      <c r="S71" s="1">
        <f t="shared" si="9"/>
        <v>0.08</v>
      </c>
      <c r="T71" s="2" t="s">
        <v>247</v>
      </c>
      <c r="U71" s="1">
        <f t="shared" si="10"/>
        <v>4.38</v>
      </c>
      <c r="V71" s="6">
        <v>46023.0</v>
      </c>
      <c r="W71" s="1">
        <f t="shared" si="11"/>
        <v>1.01</v>
      </c>
      <c r="X71" s="2" t="s">
        <v>154</v>
      </c>
      <c r="Y71" s="1">
        <f t="shared" si="12"/>
        <v>0.14</v>
      </c>
      <c r="Z71" s="2" t="s">
        <v>365</v>
      </c>
      <c r="AA71" s="1">
        <f t="shared" si="13"/>
        <v>0.23</v>
      </c>
      <c r="AB71" s="2" t="s">
        <v>79</v>
      </c>
      <c r="AC71" s="1">
        <f t="shared" si="14"/>
        <v>0.17</v>
      </c>
      <c r="AD71" s="2" t="s">
        <v>69</v>
      </c>
      <c r="AE71" s="1">
        <f t="shared" si="15"/>
        <v>0.06</v>
      </c>
      <c r="AF71" s="2" t="s">
        <v>99</v>
      </c>
      <c r="AG71" s="1">
        <f t="shared" si="16"/>
        <v>1.61</v>
      </c>
      <c r="AH71" s="2" t="s">
        <v>507</v>
      </c>
      <c r="AI71" s="1">
        <f t="shared" si="17"/>
        <v>-2.77</v>
      </c>
      <c r="AJ71" s="2" t="s">
        <v>508</v>
      </c>
      <c r="AK71" s="1">
        <f t="shared" si="18"/>
        <v>2.53</v>
      </c>
      <c r="AL71" s="2" t="s">
        <v>480</v>
      </c>
      <c r="AM71" s="1">
        <f t="shared" si="19"/>
        <v>2.73</v>
      </c>
      <c r="AN71" s="1">
        <v>5.0</v>
      </c>
    </row>
    <row r="72">
      <c r="A72" s="1" t="s">
        <v>509</v>
      </c>
      <c r="B72" s="1" t="s">
        <v>103</v>
      </c>
      <c r="C72" s="2" t="s">
        <v>114</v>
      </c>
      <c r="D72" s="1">
        <f t="shared" si="1"/>
        <v>0.1</v>
      </c>
      <c r="E72" s="2" t="s">
        <v>128</v>
      </c>
      <c r="F72" s="1">
        <f t="shared" si="2"/>
        <v>0.74</v>
      </c>
      <c r="G72" s="1" t="str">
        <f t="shared" si="3"/>
        <v>High</v>
      </c>
      <c r="H72" s="2" t="s">
        <v>510</v>
      </c>
      <c r="I72" s="1">
        <f t="shared" si="4"/>
        <v>7410.48</v>
      </c>
      <c r="K72" s="1" t="str">
        <f t="shared" si="5"/>
        <v/>
      </c>
      <c r="M72" s="1" t="str">
        <f t="shared" si="6"/>
        <v/>
      </c>
      <c r="O72" s="1" t="str">
        <f t="shared" si="7"/>
        <v/>
      </c>
      <c r="Q72" s="1" t="str">
        <f t="shared" si="8"/>
        <v/>
      </c>
      <c r="S72" s="1" t="str">
        <f t="shared" si="9"/>
        <v/>
      </c>
      <c r="T72" s="2" t="s">
        <v>511</v>
      </c>
      <c r="U72" s="1">
        <f t="shared" si="10"/>
        <v>2.98</v>
      </c>
      <c r="W72" s="1" t="str">
        <f t="shared" si="11"/>
        <v/>
      </c>
      <c r="Y72" s="1" t="str">
        <f t="shared" si="12"/>
        <v/>
      </c>
      <c r="AA72" s="1" t="str">
        <f t="shared" si="13"/>
        <v/>
      </c>
      <c r="AC72" s="1" t="str">
        <f t="shared" si="14"/>
        <v/>
      </c>
      <c r="AE72" s="1" t="str">
        <f t="shared" si="15"/>
        <v/>
      </c>
      <c r="AF72" s="2" t="s">
        <v>512</v>
      </c>
      <c r="AG72" s="1">
        <f t="shared" si="16"/>
        <v>1.96</v>
      </c>
      <c r="AH72" s="2" t="s">
        <v>513</v>
      </c>
      <c r="AI72" s="1">
        <f t="shared" si="17"/>
        <v>-1.01</v>
      </c>
      <c r="AJ72" s="2" t="s">
        <v>363</v>
      </c>
      <c r="AK72" s="1">
        <f t="shared" si="18"/>
        <v>1.72</v>
      </c>
      <c r="AL72" s="2" t="s">
        <v>217</v>
      </c>
      <c r="AM72" s="1">
        <f t="shared" si="19"/>
        <v>1.52</v>
      </c>
      <c r="AN72" s="1" t="s">
        <v>164</v>
      </c>
    </row>
    <row r="73">
      <c r="A73" s="1" t="s">
        <v>514</v>
      </c>
      <c r="B73" s="1" t="s">
        <v>103</v>
      </c>
      <c r="C73" s="2" t="s">
        <v>36</v>
      </c>
      <c r="D73" s="1">
        <f t="shared" si="1"/>
        <v>0.46</v>
      </c>
      <c r="F73" s="1" t="str">
        <f t="shared" si="2"/>
        <v/>
      </c>
      <c r="G73" s="1" t="str">
        <f t="shared" si="3"/>
        <v>Unknown</v>
      </c>
      <c r="I73" s="1" t="str">
        <f t="shared" si="4"/>
        <v/>
      </c>
      <c r="J73" s="2" t="s">
        <v>149</v>
      </c>
      <c r="K73" s="1">
        <f t="shared" si="5"/>
        <v>0.11</v>
      </c>
      <c r="L73" s="2" t="s">
        <v>82</v>
      </c>
      <c r="M73" s="1">
        <f t="shared" si="6"/>
        <v>0.03</v>
      </c>
      <c r="N73" s="2" t="s">
        <v>78</v>
      </c>
      <c r="O73" s="1">
        <f t="shared" si="7"/>
        <v>0.16</v>
      </c>
      <c r="P73" s="2" t="s">
        <v>515</v>
      </c>
      <c r="Q73" s="1">
        <f t="shared" si="8"/>
        <v>2.61</v>
      </c>
      <c r="R73" s="2" t="s">
        <v>285</v>
      </c>
      <c r="S73" s="1">
        <f t="shared" si="9"/>
        <v>0.31</v>
      </c>
      <c r="T73" s="5">
        <v>46104.0</v>
      </c>
      <c r="U73" s="1">
        <f t="shared" si="10"/>
        <v>3.23</v>
      </c>
      <c r="V73" s="2" t="s">
        <v>149</v>
      </c>
      <c r="W73" s="1">
        <f t="shared" si="11"/>
        <v>0.11</v>
      </c>
      <c r="X73" s="2" t="s">
        <v>82</v>
      </c>
      <c r="Y73" s="1">
        <f t="shared" si="12"/>
        <v>0.03</v>
      </c>
      <c r="Z73" s="2" t="s">
        <v>240</v>
      </c>
      <c r="AA73" s="1">
        <f t="shared" si="13"/>
        <v>0.13</v>
      </c>
      <c r="AB73" s="2" t="s">
        <v>42</v>
      </c>
      <c r="AC73" s="1">
        <f t="shared" si="14"/>
        <v>0.18</v>
      </c>
      <c r="AD73" s="2">
        <v>0.0</v>
      </c>
      <c r="AE73" s="1">
        <f t="shared" si="15"/>
        <v>0</v>
      </c>
      <c r="AF73" s="2" t="s">
        <v>123</v>
      </c>
      <c r="AG73" s="1">
        <f t="shared" si="16"/>
        <v>0.45</v>
      </c>
      <c r="AH73" s="2" t="s">
        <v>507</v>
      </c>
      <c r="AI73" s="1">
        <f t="shared" si="17"/>
        <v>-2.77</v>
      </c>
      <c r="AJ73" s="2" t="s">
        <v>117</v>
      </c>
      <c r="AK73" s="1">
        <f t="shared" si="18"/>
        <v>1.86</v>
      </c>
      <c r="AL73" s="5">
        <v>46217.0</v>
      </c>
      <c r="AM73" s="1">
        <f t="shared" si="19"/>
        <v>7.14</v>
      </c>
      <c r="AN73" s="1">
        <v>5.0</v>
      </c>
    </row>
    <row r="74">
      <c r="A74" s="1" t="s">
        <v>516</v>
      </c>
      <c r="B74" s="1" t="s">
        <v>103</v>
      </c>
      <c r="C74" s="2" t="s">
        <v>517</v>
      </c>
      <c r="D74" s="1">
        <f t="shared" si="1"/>
        <v>15.08</v>
      </c>
      <c r="E74" s="2" t="s">
        <v>275</v>
      </c>
      <c r="F74" s="1">
        <f t="shared" si="2"/>
        <v>0.62</v>
      </c>
      <c r="G74" s="1" t="str">
        <f t="shared" si="3"/>
        <v>Medium</v>
      </c>
      <c r="H74" s="2" t="s">
        <v>518</v>
      </c>
      <c r="I74" s="1">
        <f t="shared" si="4"/>
        <v>3233.8</v>
      </c>
      <c r="J74" s="2" t="s">
        <v>101</v>
      </c>
      <c r="K74" s="1">
        <f t="shared" si="5"/>
        <v>0.37</v>
      </c>
      <c r="L74" s="2" t="s">
        <v>78</v>
      </c>
      <c r="M74" s="1">
        <f t="shared" si="6"/>
        <v>0.16</v>
      </c>
      <c r="N74" s="2" t="s">
        <v>191</v>
      </c>
      <c r="O74" s="1">
        <f t="shared" si="7"/>
        <v>0.58</v>
      </c>
      <c r="P74" s="2" t="s">
        <v>305</v>
      </c>
      <c r="Q74" s="1">
        <f t="shared" si="8"/>
        <v>0.7</v>
      </c>
      <c r="R74" s="2" t="s">
        <v>80</v>
      </c>
      <c r="S74" s="1">
        <f t="shared" si="9"/>
        <v>0.01</v>
      </c>
      <c r="T74" s="2" t="s">
        <v>519</v>
      </c>
      <c r="U74" s="1">
        <f t="shared" si="10"/>
        <v>1.89</v>
      </c>
      <c r="V74" s="2" t="s">
        <v>199</v>
      </c>
      <c r="W74" s="1">
        <f t="shared" si="11"/>
        <v>0.38</v>
      </c>
      <c r="X74" s="2" t="s">
        <v>91</v>
      </c>
      <c r="Y74" s="1">
        <f t="shared" si="12"/>
        <v>0.15</v>
      </c>
      <c r="Z74" s="2" t="s">
        <v>130</v>
      </c>
      <c r="AA74" s="1">
        <f t="shared" si="13"/>
        <v>0.34</v>
      </c>
      <c r="AB74" s="2" t="s">
        <v>181</v>
      </c>
      <c r="AC74" s="1">
        <f t="shared" si="14"/>
        <v>0.05</v>
      </c>
      <c r="AD74" s="2" t="s">
        <v>68</v>
      </c>
      <c r="AE74" s="1">
        <f t="shared" si="15"/>
        <v>0.07</v>
      </c>
      <c r="AF74" s="2" t="s">
        <v>225</v>
      </c>
      <c r="AG74" s="1">
        <f t="shared" si="16"/>
        <v>0.99</v>
      </c>
      <c r="AH74" s="2" t="s">
        <v>520</v>
      </c>
      <c r="AI74" s="1">
        <f t="shared" si="17"/>
        <v>-0.9</v>
      </c>
      <c r="AJ74" s="6">
        <v>46031.0</v>
      </c>
      <c r="AK74" s="1">
        <f t="shared" si="18"/>
        <v>1.09</v>
      </c>
      <c r="AL74" s="2" t="s">
        <v>266</v>
      </c>
      <c r="AM74" s="1">
        <f t="shared" si="19"/>
        <v>1.91</v>
      </c>
      <c r="AN74" s="1">
        <v>5.0</v>
      </c>
    </row>
    <row r="75">
      <c r="A75" s="1" t="s">
        <v>521</v>
      </c>
      <c r="B75" s="1" t="s">
        <v>73</v>
      </c>
      <c r="C75" s="2" t="s">
        <v>522</v>
      </c>
      <c r="D75" s="1">
        <f t="shared" si="1"/>
        <v>11.45</v>
      </c>
      <c r="E75" s="2" t="s">
        <v>283</v>
      </c>
      <c r="F75" s="1">
        <f t="shared" si="2"/>
        <v>0.41</v>
      </c>
      <c r="G75" s="1" t="str">
        <f t="shared" si="3"/>
        <v>Low</v>
      </c>
      <c r="H75" s="2" t="s">
        <v>523</v>
      </c>
      <c r="I75" s="1">
        <f t="shared" si="4"/>
        <v>459.09</v>
      </c>
      <c r="J75" s="2" t="s">
        <v>298</v>
      </c>
      <c r="K75" s="1">
        <f t="shared" si="5"/>
        <v>0.39</v>
      </c>
      <c r="L75" s="2" t="s">
        <v>310</v>
      </c>
      <c r="M75" s="1">
        <f t="shared" si="6"/>
        <v>0.32</v>
      </c>
      <c r="N75" s="2" t="s">
        <v>123</v>
      </c>
      <c r="O75" s="1">
        <f t="shared" si="7"/>
        <v>0.45</v>
      </c>
      <c r="P75" s="2" t="s">
        <v>78</v>
      </c>
      <c r="Q75" s="1">
        <f t="shared" si="8"/>
        <v>0.16</v>
      </c>
      <c r="R75" s="2" t="s">
        <v>181</v>
      </c>
      <c r="S75" s="1">
        <f t="shared" si="9"/>
        <v>0.05</v>
      </c>
      <c r="T75" s="2" t="s">
        <v>234</v>
      </c>
      <c r="U75" s="1">
        <f t="shared" si="10"/>
        <v>1.41</v>
      </c>
      <c r="V75" s="2" t="s">
        <v>293</v>
      </c>
      <c r="W75" s="1">
        <f t="shared" si="11"/>
        <v>0.35</v>
      </c>
      <c r="X75" s="2" t="s">
        <v>167</v>
      </c>
      <c r="Y75" s="1">
        <f t="shared" si="12"/>
        <v>0.75</v>
      </c>
      <c r="Z75" s="2" t="s">
        <v>96</v>
      </c>
      <c r="AA75" s="1">
        <f t="shared" si="13"/>
        <v>0.64</v>
      </c>
      <c r="AB75" s="2" t="s">
        <v>38</v>
      </c>
      <c r="AC75" s="1">
        <f t="shared" si="14"/>
        <v>0.3</v>
      </c>
      <c r="AD75" s="2" t="s">
        <v>49</v>
      </c>
      <c r="AE75" s="1">
        <f t="shared" si="15"/>
        <v>0.04</v>
      </c>
      <c r="AF75" s="6">
        <v>46062.0</v>
      </c>
      <c r="AG75" s="1">
        <f t="shared" si="16"/>
        <v>2.09</v>
      </c>
      <c r="AH75" s="2" t="s">
        <v>324</v>
      </c>
      <c r="AI75" s="1">
        <f t="shared" si="17"/>
        <v>0.68</v>
      </c>
      <c r="AJ75" s="2" t="s">
        <v>236</v>
      </c>
      <c r="AK75" s="1">
        <f t="shared" si="18"/>
        <v>0.81</v>
      </c>
      <c r="AL75" s="2" t="s">
        <v>254</v>
      </c>
      <c r="AM75" s="1">
        <f t="shared" si="19"/>
        <v>0.67</v>
      </c>
      <c r="AN75" s="1">
        <v>5.0</v>
      </c>
    </row>
    <row r="76">
      <c r="A76" s="1" t="s">
        <v>524</v>
      </c>
      <c r="B76" s="1" t="s">
        <v>73</v>
      </c>
      <c r="C76" s="2" t="s">
        <v>468</v>
      </c>
      <c r="D76" s="1">
        <f t="shared" si="1"/>
        <v>1.66</v>
      </c>
      <c r="E76" s="2" t="s">
        <v>201</v>
      </c>
      <c r="F76" s="1">
        <f t="shared" si="2"/>
        <v>0.42</v>
      </c>
      <c r="G76" s="1" t="str">
        <f t="shared" si="3"/>
        <v>Low</v>
      </c>
      <c r="H76" s="2" t="s">
        <v>525</v>
      </c>
      <c r="I76" s="1">
        <f t="shared" si="4"/>
        <v>681.25</v>
      </c>
      <c r="J76" s="2" t="s">
        <v>293</v>
      </c>
      <c r="K76" s="1">
        <f t="shared" si="5"/>
        <v>0.35</v>
      </c>
      <c r="L76" s="2" t="s">
        <v>302</v>
      </c>
      <c r="M76" s="1">
        <f t="shared" si="6"/>
        <v>0.36</v>
      </c>
      <c r="N76" s="2" t="s">
        <v>254</v>
      </c>
      <c r="O76" s="1">
        <f t="shared" si="7"/>
        <v>0.67</v>
      </c>
      <c r="P76" s="2" t="s">
        <v>93</v>
      </c>
      <c r="Q76" s="1">
        <f t="shared" si="8"/>
        <v>0.09</v>
      </c>
      <c r="R76" s="2" t="s">
        <v>80</v>
      </c>
      <c r="S76" s="1">
        <f t="shared" si="9"/>
        <v>0.01</v>
      </c>
      <c r="T76" s="2" t="s">
        <v>381</v>
      </c>
      <c r="U76" s="1">
        <f t="shared" si="10"/>
        <v>1.53</v>
      </c>
      <c r="V76" s="2" t="s">
        <v>224</v>
      </c>
      <c r="W76" s="1">
        <f t="shared" si="11"/>
        <v>0.48</v>
      </c>
      <c r="X76" s="2" t="s">
        <v>302</v>
      </c>
      <c r="Y76" s="1">
        <f t="shared" si="12"/>
        <v>0.36</v>
      </c>
      <c r="Z76" s="2" t="s">
        <v>130</v>
      </c>
      <c r="AA76" s="1">
        <f t="shared" si="13"/>
        <v>0.34</v>
      </c>
      <c r="AB76" s="2" t="s">
        <v>489</v>
      </c>
      <c r="AC76" s="1">
        <f t="shared" si="14"/>
        <v>1.79</v>
      </c>
      <c r="AD76" s="2" t="s">
        <v>69</v>
      </c>
      <c r="AE76" s="1">
        <f t="shared" si="15"/>
        <v>0.06</v>
      </c>
      <c r="AF76" s="6">
        <v>46084.0</v>
      </c>
      <c r="AG76" s="1">
        <f t="shared" si="16"/>
        <v>3.03</v>
      </c>
      <c r="AH76" s="2" t="s">
        <v>419</v>
      </c>
      <c r="AI76" s="1">
        <f t="shared" si="17"/>
        <v>1.49</v>
      </c>
      <c r="AJ76" s="2" t="s">
        <v>131</v>
      </c>
      <c r="AK76" s="1">
        <f t="shared" si="18"/>
        <v>0.89</v>
      </c>
      <c r="AL76" s="2" t="s">
        <v>233</v>
      </c>
      <c r="AM76" s="1">
        <f t="shared" si="19"/>
        <v>0.51</v>
      </c>
      <c r="AN76" s="1">
        <v>6.0</v>
      </c>
    </row>
    <row r="77">
      <c r="A77" s="1" t="s">
        <v>526</v>
      </c>
      <c r="B77" s="1" t="s">
        <v>103</v>
      </c>
      <c r="C77" s="2" t="s">
        <v>213</v>
      </c>
      <c r="D77" s="1">
        <f t="shared" si="1"/>
        <v>0.8</v>
      </c>
      <c r="E77" s="2" t="s">
        <v>147</v>
      </c>
      <c r="F77" s="1">
        <f t="shared" si="2"/>
        <v>0.63</v>
      </c>
      <c r="G77" s="1" t="str">
        <f t="shared" si="3"/>
        <v>Medium</v>
      </c>
      <c r="H77" s="2" t="s">
        <v>527</v>
      </c>
      <c r="I77" s="1">
        <f t="shared" si="4"/>
        <v>3269.46</v>
      </c>
      <c r="J77" s="2" t="s">
        <v>305</v>
      </c>
      <c r="K77" s="1">
        <f t="shared" si="5"/>
        <v>0.7</v>
      </c>
      <c r="L77" s="2" t="s">
        <v>62</v>
      </c>
      <c r="M77" s="1">
        <f t="shared" si="6"/>
        <v>0.22</v>
      </c>
      <c r="N77" s="2" t="s">
        <v>394</v>
      </c>
      <c r="O77" s="1">
        <f t="shared" si="7"/>
        <v>0.77</v>
      </c>
      <c r="P77" s="5">
        <v>46047.0</v>
      </c>
      <c r="Q77" s="1">
        <f t="shared" si="8"/>
        <v>1.25</v>
      </c>
      <c r="R77" s="2" t="s">
        <v>69</v>
      </c>
      <c r="S77" s="1">
        <f t="shared" si="9"/>
        <v>0.06</v>
      </c>
      <c r="T77" s="6">
        <v>46088.0</v>
      </c>
      <c r="U77" s="1">
        <f t="shared" si="10"/>
        <v>3.07</v>
      </c>
      <c r="V77" s="2" t="s">
        <v>267</v>
      </c>
      <c r="W77" s="1">
        <f t="shared" si="11"/>
        <v>0.69</v>
      </c>
      <c r="X77" s="2" t="s">
        <v>528</v>
      </c>
      <c r="Y77" s="1">
        <f t="shared" si="12"/>
        <v>1.51</v>
      </c>
      <c r="Z77" s="2" t="s">
        <v>529</v>
      </c>
      <c r="AA77" s="1">
        <f t="shared" si="13"/>
        <v>59.19</v>
      </c>
      <c r="AB77" s="5">
        <v>46154.0</v>
      </c>
      <c r="AC77" s="1">
        <f t="shared" si="14"/>
        <v>5.12</v>
      </c>
      <c r="AD77" s="2" t="s">
        <v>69</v>
      </c>
      <c r="AE77" s="1">
        <f t="shared" si="15"/>
        <v>0.06</v>
      </c>
      <c r="AF77" s="2" t="s">
        <v>530</v>
      </c>
      <c r="AG77" s="1">
        <f t="shared" si="16"/>
        <v>66.58</v>
      </c>
      <c r="AH77" s="2" t="s">
        <v>531</v>
      </c>
      <c r="AI77" s="1">
        <f t="shared" si="17"/>
        <v>63.51</v>
      </c>
      <c r="AJ77" s="2" t="s">
        <v>532</v>
      </c>
      <c r="AK77" s="1">
        <f t="shared" si="18"/>
        <v>1.77</v>
      </c>
      <c r="AL77" s="2" t="s">
        <v>181</v>
      </c>
      <c r="AM77" s="1">
        <f t="shared" si="19"/>
        <v>0.05</v>
      </c>
      <c r="AN77" s="1">
        <v>5.0</v>
      </c>
    </row>
    <row r="78">
      <c r="A78" s="1" t="s">
        <v>533</v>
      </c>
      <c r="B78" s="1" t="s">
        <v>103</v>
      </c>
      <c r="C78" s="5">
        <v>46312.0</v>
      </c>
      <c r="D78" s="1">
        <f t="shared" si="1"/>
        <v>10.17</v>
      </c>
      <c r="E78" s="2" t="s">
        <v>224</v>
      </c>
      <c r="F78" s="1">
        <f t="shared" si="2"/>
        <v>0.48</v>
      </c>
      <c r="G78" s="1" t="str">
        <f t="shared" si="3"/>
        <v>Low</v>
      </c>
      <c r="H78" s="2" t="s">
        <v>534</v>
      </c>
      <c r="I78" s="1">
        <f t="shared" si="4"/>
        <v>749.13</v>
      </c>
      <c r="J78" s="2" t="s">
        <v>81</v>
      </c>
      <c r="K78" s="1">
        <f t="shared" si="5"/>
        <v>0.27</v>
      </c>
      <c r="L78" s="2" t="s">
        <v>49</v>
      </c>
      <c r="M78" s="1">
        <f t="shared" si="6"/>
        <v>0.04</v>
      </c>
      <c r="N78" s="2" t="s">
        <v>114</v>
      </c>
      <c r="O78" s="1">
        <f t="shared" si="7"/>
        <v>0.1</v>
      </c>
      <c r="P78" s="2" t="s">
        <v>91</v>
      </c>
      <c r="Q78" s="1">
        <f t="shared" si="8"/>
        <v>0.15</v>
      </c>
      <c r="R78" s="2" t="s">
        <v>80</v>
      </c>
      <c r="S78" s="1">
        <f t="shared" si="9"/>
        <v>0.01</v>
      </c>
      <c r="T78" s="2" t="s">
        <v>348</v>
      </c>
      <c r="U78" s="1">
        <f t="shared" si="10"/>
        <v>0.61</v>
      </c>
      <c r="V78" s="2" t="s">
        <v>42</v>
      </c>
      <c r="W78" s="1">
        <f t="shared" si="11"/>
        <v>0.18</v>
      </c>
      <c r="X78" s="2" t="s">
        <v>82</v>
      </c>
      <c r="Y78" s="1">
        <f t="shared" si="12"/>
        <v>0.03</v>
      </c>
      <c r="Z78" s="2" t="s">
        <v>80</v>
      </c>
      <c r="AA78" s="1">
        <f t="shared" si="13"/>
        <v>0.01</v>
      </c>
      <c r="AB78" s="2" t="s">
        <v>80</v>
      </c>
      <c r="AC78" s="1">
        <f t="shared" si="14"/>
        <v>0.01</v>
      </c>
      <c r="AD78" s="2" t="s">
        <v>82</v>
      </c>
      <c r="AE78" s="1">
        <f t="shared" si="15"/>
        <v>0.03</v>
      </c>
      <c r="AF78" s="2" t="s">
        <v>81</v>
      </c>
      <c r="AG78" s="1">
        <f t="shared" si="16"/>
        <v>0.27</v>
      </c>
      <c r="AH78" s="2" t="s">
        <v>535</v>
      </c>
      <c r="AI78" s="1">
        <f t="shared" si="17"/>
        <v>-0.34</v>
      </c>
      <c r="AJ78" s="2" t="s">
        <v>293</v>
      </c>
      <c r="AK78" s="1">
        <f t="shared" si="18"/>
        <v>0.35</v>
      </c>
      <c r="AL78" s="5">
        <v>46081.0</v>
      </c>
      <c r="AM78" s="1">
        <f t="shared" si="19"/>
        <v>2.28</v>
      </c>
      <c r="AN78" s="1">
        <v>6.0</v>
      </c>
    </row>
    <row r="79">
      <c r="A79" s="1" t="s">
        <v>536</v>
      </c>
      <c r="B79" s="1" t="s">
        <v>103</v>
      </c>
      <c r="C79" s="2" t="s">
        <v>537</v>
      </c>
      <c r="D79" s="1">
        <f t="shared" si="1"/>
        <v>7.94</v>
      </c>
      <c r="E79" s="2" t="s">
        <v>348</v>
      </c>
      <c r="F79" s="1">
        <f t="shared" si="2"/>
        <v>0.61</v>
      </c>
      <c r="G79" s="1" t="str">
        <f t="shared" si="3"/>
        <v>Medium</v>
      </c>
      <c r="H79" s="2" t="s">
        <v>538</v>
      </c>
      <c r="I79" s="1">
        <f t="shared" si="4"/>
        <v>2269.51</v>
      </c>
      <c r="J79" s="2" t="s">
        <v>203</v>
      </c>
      <c r="K79" s="1">
        <f t="shared" si="5"/>
        <v>0.28</v>
      </c>
      <c r="L79" s="2" t="s">
        <v>63</v>
      </c>
      <c r="M79" s="1">
        <f t="shared" si="6"/>
        <v>0.25</v>
      </c>
      <c r="N79" s="2" t="s">
        <v>51</v>
      </c>
      <c r="O79" s="1">
        <f t="shared" si="7"/>
        <v>0.5</v>
      </c>
      <c r="P79" s="2" t="s">
        <v>77</v>
      </c>
      <c r="Q79" s="1">
        <f t="shared" si="8"/>
        <v>0.6</v>
      </c>
      <c r="R79" s="2">
        <v>0.0</v>
      </c>
      <c r="S79" s="1">
        <f t="shared" si="9"/>
        <v>0</v>
      </c>
      <c r="T79" s="2" t="s">
        <v>539</v>
      </c>
      <c r="U79" s="1">
        <f t="shared" si="10"/>
        <v>1.68</v>
      </c>
      <c r="V79" s="2" t="s">
        <v>90</v>
      </c>
      <c r="W79" s="1">
        <f t="shared" si="11"/>
        <v>0.33</v>
      </c>
      <c r="X79" s="2" t="s">
        <v>97</v>
      </c>
      <c r="Y79" s="1">
        <f t="shared" si="12"/>
        <v>0.26</v>
      </c>
      <c r="Z79" s="2" t="s">
        <v>131</v>
      </c>
      <c r="AA79" s="1">
        <f t="shared" si="13"/>
        <v>0.89</v>
      </c>
      <c r="AB79" s="2" t="s">
        <v>365</v>
      </c>
      <c r="AC79" s="1">
        <f t="shared" si="14"/>
        <v>0.23</v>
      </c>
      <c r="AD79" s="2" t="s">
        <v>69</v>
      </c>
      <c r="AE79" s="1">
        <f t="shared" si="15"/>
        <v>0.06</v>
      </c>
      <c r="AF79" s="2" t="s">
        <v>532</v>
      </c>
      <c r="AG79" s="1">
        <f t="shared" si="16"/>
        <v>1.77</v>
      </c>
      <c r="AH79" s="2" t="s">
        <v>93</v>
      </c>
      <c r="AI79" s="1">
        <f t="shared" si="17"/>
        <v>0.09</v>
      </c>
      <c r="AJ79" s="2" t="s">
        <v>177</v>
      </c>
      <c r="AK79" s="1">
        <f t="shared" si="18"/>
        <v>0.97</v>
      </c>
      <c r="AL79" s="2" t="s">
        <v>540</v>
      </c>
      <c r="AM79" s="1">
        <f t="shared" si="19"/>
        <v>0.95</v>
      </c>
      <c r="AN79" s="1" t="s">
        <v>124</v>
      </c>
    </row>
    <row r="80">
      <c r="A80" s="1" t="s">
        <v>541</v>
      </c>
      <c r="B80" s="1" t="s">
        <v>143</v>
      </c>
      <c r="C80" s="2" t="s">
        <v>542</v>
      </c>
      <c r="D80" s="1">
        <f t="shared" si="1"/>
        <v>9.98</v>
      </c>
      <c r="E80" s="2" t="s">
        <v>162</v>
      </c>
      <c r="F80" s="1">
        <f t="shared" si="2"/>
        <v>0.82</v>
      </c>
      <c r="G80" s="1" t="str">
        <f t="shared" si="3"/>
        <v>Very High</v>
      </c>
      <c r="H80" s="2" t="s">
        <v>543</v>
      </c>
      <c r="I80" s="1">
        <f t="shared" si="4"/>
        <v>13964.2</v>
      </c>
      <c r="J80" s="2" t="s">
        <v>201</v>
      </c>
      <c r="K80" s="1">
        <f t="shared" si="5"/>
        <v>0.42</v>
      </c>
      <c r="L80" s="2" t="s">
        <v>41</v>
      </c>
      <c r="M80" s="1">
        <f t="shared" si="6"/>
        <v>0.08</v>
      </c>
      <c r="N80" s="2" t="s">
        <v>302</v>
      </c>
      <c r="O80" s="1">
        <f t="shared" si="7"/>
        <v>0.36</v>
      </c>
      <c r="P80" s="5">
        <v>46031.0</v>
      </c>
      <c r="Q80" s="1">
        <f t="shared" si="8"/>
        <v>1.9</v>
      </c>
      <c r="R80" s="2" t="s">
        <v>48</v>
      </c>
      <c r="S80" s="1">
        <f t="shared" si="9"/>
        <v>0.02</v>
      </c>
      <c r="T80" s="2" t="s">
        <v>544</v>
      </c>
      <c r="U80" s="1">
        <f t="shared" si="10"/>
        <v>2.92</v>
      </c>
      <c r="V80" s="5">
        <v>46050.0</v>
      </c>
      <c r="W80" s="1">
        <f t="shared" si="11"/>
        <v>1.28</v>
      </c>
      <c r="X80" s="2" t="s">
        <v>69</v>
      </c>
      <c r="Y80" s="1">
        <f t="shared" si="12"/>
        <v>0.06</v>
      </c>
      <c r="Z80" s="2" t="s">
        <v>267</v>
      </c>
      <c r="AA80" s="1">
        <f t="shared" si="13"/>
        <v>0.69</v>
      </c>
      <c r="AB80" s="2">
        <v>0.0</v>
      </c>
      <c r="AC80" s="1">
        <f t="shared" si="14"/>
        <v>0</v>
      </c>
      <c r="AD80" s="2" t="s">
        <v>240</v>
      </c>
      <c r="AE80" s="1">
        <f t="shared" si="15"/>
        <v>0.13</v>
      </c>
      <c r="AF80" s="5">
        <v>46070.0</v>
      </c>
      <c r="AG80" s="1">
        <f t="shared" si="16"/>
        <v>2.17</v>
      </c>
      <c r="AH80" s="2" t="s">
        <v>545</v>
      </c>
      <c r="AI80" s="1">
        <f t="shared" si="17"/>
        <v>-0.75</v>
      </c>
      <c r="AJ80" s="2" t="s">
        <v>252</v>
      </c>
      <c r="AK80" s="1">
        <f t="shared" si="18"/>
        <v>1.69</v>
      </c>
      <c r="AL80" s="2" t="s">
        <v>546</v>
      </c>
      <c r="AM80" s="1">
        <f t="shared" si="19"/>
        <v>1.34</v>
      </c>
      <c r="AN80" s="1">
        <v>5.0</v>
      </c>
    </row>
    <row r="81">
      <c r="A81" s="1" t="s">
        <v>547</v>
      </c>
      <c r="B81" s="1" t="s">
        <v>134</v>
      </c>
      <c r="C81" s="2" t="s">
        <v>548</v>
      </c>
      <c r="D81" s="1">
        <f t="shared" si="1"/>
        <v>1236.69</v>
      </c>
      <c r="E81" s="2" t="s">
        <v>77</v>
      </c>
      <c r="F81" s="1">
        <f t="shared" si="2"/>
        <v>0.6</v>
      </c>
      <c r="G81" s="1" t="str">
        <f t="shared" si="3"/>
        <v>Medium</v>
      </c>
      <c r="H81" s="2" t="s">
        <v>549</v>
      </c>
      <c r="I81" s="1">
        <f t="shared" si="4"/>
        <v>1513.85</v>
      </c>
      <c r="J81" s="2" t="s">
        <v>130</v>
      </c>
      <c r="K81" s="1">
        <f t="shared" si="5"/>
        <v>0.34</v>
      </c>
      <c r="L81" s="2" t="s">
        <v>80</v>
      </c>
      <c r="M81" s="1">
        <f t="shared" si="6"/>
        <v>0.01</v>
      </c>
      <c r="N81" s="2" t="s">
        <v>154</v>
      </c>
      <c r="O81" s="1">
        <f t="shared" si="7"/>
        <v>0.14</v>
      </c>
      <c r="P81" s="2" t="s">
        <v>348</v>
      </c>
      <c r="Q81" s="1">
        <f t="shared" si="8"/>
        <v>0.61</v>
      </c>
      <c r="R81" s="2" t="s">
        <v>48</v>
      </c>
      <c r="S81" s="1">
        <f t="shared" si="9"/>
        <v>0.02</v>
      </c>
      <c r="T81" s="5">
        <v>46038.0</v>
      </c>
      <c r="U81" s="1">
        <f t="shared" si="10"/>
        <v>1.16</v>
      </c>
      <c r="V81" s="2" t="s">
        <v>293</v>
      </c>
      <c r="W81" s="1">
        <f t="shared" si="11"/>
        <v>0.35</v>
      </c>
      <c r="X81" s="2">
        <v>0.0</v>
      </c>
      <c r="Y81" s="1">
        <f t="shared" si="12"/>
        <v>0</v>
      </c>
      <c r="Z81" s="2" t="s">
        <v>48</v>
      </c>
      <c r="AA81" s="1">
        <f t="shared" si="13"/>
        <v>0.02</v>
      </c>
      <c r="AB81" s="2" t="s">
        <v>82</v>
      </c>
      <c r="AC81" s="1">
        <f t="shared" si="14"/>
        <v>0.03</v>
      </c>
      <c r="AD81" s="2" t="s">
        <v>181</v>
      </c>
      <c r="AE81" s="1">
        <f t="shared" si="15"/>
        <v>0.05</v>
      </c>
      <c r="AF81" s="2" t="s">
        <v>123</v>
      </c>
      <c r="AG81" s="1">
        <f t="shared" si="16"/>
        <v>0.45</v>
      </c>
      <c r="AH81" s="2" t="s">
        <v>550</v>
      </c>
      <c r="AI81" s="1">
        <f t="shared" si="17"/>
        <v>-0.71</v>
      </c>
      <c r="AJ81" s="2" t="s">
        <v>254</v>
      </c>
      <c r="AK81" s="1">
        <f t="shared" si="18"/>
        <v>0.67</v>
      </c>
      <c r="AL81" s="2" t="s">
        <v>98</v>
      </c>
      <c r="AM81" s="1">
        <f t="shared" si="19"/>
        <v>2.55</v>
      </c>
      <c r="AN81" s="1">
        <v>6.0</v>
      </c>
    </row>
    <row r="82">
      <c r="A82" s="1" t="s">
        <v>551</v>
      </c>
      <c r="B82" s="1" t="s">
        <v>134</v>
      </c>
      <c r="C82" s="2" t="s">
        <v>552</v>
      </c>
      <c r="D82" s="1">
        <f t="shared" si="1"/>
        <v>246.86</v>
      </c>
      <c r="E82" s="2" t="s">
        <v>324</v>
      </c>
      <c r="F82" s="1">
        <f t="shared" si="2"/>
        <v>0.68</v>
      </c>
      <c r="G82" s="1" t="str">
        <f t="shared" si="3"/>
        <v>Medium</v>
      </c>
      <c r="H82" s="2" t="s">
        <v>553</v>
      </c>
      <c r="I82" s="1">
        <f t="shared" si="4"/>
        <v>3688.53</v>
      </c>
      <c r="J82" s="2" t="s">
        <v>132</v>
      </c>
      <c r="K82" s="1">
        <f t="shared" si="5"/>
        <v>0.44</v>
      </c>
      <c r="L82" s="2" t="s">
        <v>82</v>
      </c>
      <c r="M82" s="1">
        <f t="shared" si="6"/>
        <v>0.03</v>
      </c>
      <c r="N82" s="2" t="s">
        <v>40</v>
      </c>
      <c r="O82" s="1">
        <f t="shared" si="7"/>
        <v>0.2</v>
      </c>
      <c r="P82" s="2" t="s">
        <v>96</v>
      </c>
      <c r="Q82" s="1">
        <f t="shared" si="8"/>
        <v>0.64</v>
      </c>
      <c r="R82" s="2" t="s">
        <v>66</v>
      </c>
      <c r="S82" s="1">
        <f t="shared" si="9"/>
        <v>0.21</v>
      </c>
      <c r="T82" s="2" t="s">
        <v>470</v>
      </c>
      <c r="U82" s="1">
        <f t="shared" si="10"/>
        <v>1.58</v>
      </c>
      <c r="V82" s="2" t="s">
        <v>36</v>
      </c>
      <c r="W82" s="1">
        <f t="shared" si="11"/>
        <v>0.46</v>
      </c>
      <c r="X82" s="2" t="s">
        <v>69</v>
      </c>
      <c r="Y82" s="1">
        <f t="shared" si="12"/>
        <v>0.06</v>
      </c>
      <c r="Z82" s="2" t="s">
        <v>38</v>
      </c>
      <c r="AA82" s="1">
        <f t="shared" si="13"/>
        <v>0.3</v>
      </c>
      <c r="AB82" s="2" t="s">
        <v>199</v>
      </c>
      <c r="AC82" s="1">
        <f t="shared" si="14"/>
        <v>0.38</v>
      </c>
      <c r="AD82" s="2" t="s">
        <v>69</v>
      </c>
      <c r="AE82" s="1">
        <f t="shared" si="15"/>
        <v>0.06</v>
      </c>
      <c r="AF82" s="5">
        <v>46048.0</v>
      </c>
      <c r="AG82" s="1">
        <f t="shared" si="16"/>
        <v>1.26</v>
      </c>
      <c r="AH82" s="2" t="s">
        <v>554</v>
      </c>
      <c r="AI82" s="1">
        <f t="shared" si="17"/>
        <v>-0.32</v>
      </c>
      <c r="AJ82" s="2" t="s">
        <v>215</v>
      </c>
      <c r="AK82" s="1">
        <f t="shared" si="18"/>
        <v>0.91</v>
      </c>
      <c r="AL82" s="5">
        <v>46047.0</v>
      </c>
      <c r="AM82" s="1">
        <f t="shared" si="19"/>
        <v>1.25</v>
      </c>
      <c r="AN82" s="1">
        <v>6.0</v>
      </c>
    </row>
    <row r="83">
      <c r="A83" s="1" t="s">
        <v>555</v>
      </c>
      <c r="B83" s="1" t="s">
        <v>33</v>
      </c>
      <c r="C83" s="2" t="s">
        <v>556</v>
      </c>
      <c r="D83" s="1">
        <f t="shared" si="1"/>
        <v>76.42</v>
      </c>
      <c r="E83" s="2" t="s">
        <v>376</v>
      </c>
      <c r="F83" s="1">
        <f t="shared" si="2"/>
        <v>0.76</v>
      </c>
      <c r="G83" s="1" t="str">
        <f t="shared" si="3"/>
        <v>High</v>
      </c>
      <c r="H83" s="2" t="s">
        <v>557</v>
      </c>
      <c r="I83" s="1">
        <f t="shared" si="4"/>
        <v>7511.1</v>
      </c>
      <c r="J83" s="2" t="s">
        <v>267</v>
      </c>
      <c r="K83" s="1">
        <f t="shared" si="5"/>
        <v>0.69</v>
      </c>
      <c r="L83" s="2" t="s">
        <v>93</v>
      </c>
      <c r="M83" s="1">
        <f t="shared" si="6"/>
        <v>0.09</v>
      </c>
      <c r="N83" s="2" t="s">
        <v>68</v>
      </c>
      <c r="O83" s="1">
        <f t="shared" si="7"/>
        <v>0.07</v>
      </c>
      <c r="P83" s="2" t="s">
        <v>363</v>
      </c>
      <c r="Q83" s="1">
        <f t="shared" si="8"/>
        <v>1.72</v>
      </c>
      <c r="R83" s="2" t="s">
        <v>92</v>
      </c>
      <c r="S83" s="1">
        <f t="shared" si="9"/>
        <v>0.12</v>
      </c>
      <c r="T83" s="2" t="s">
        <v>558</v>
      </c>
      <c r="U83" s="1">
        <f t="shared" si="10"/>
        <v>2.79</v>
      </c>
      <c r="V83" s="2" t="s">
        <v>224</v>
      </c>
      <c r="W83" s="1">
        <f t="shared" si="11"/>
        <v>0.48</v>
      </c>
      <c r="X83" s="2" t="s">
        <v>68</v>
      </c>
      <c r="Y83" s="1">
        <f t="shared" si="12"/>
        <v>0.07</v>
      </c>
      <c r="Z83" s="2" t="s">
        <v>69</v>
      </c>
      <c r="AA83" s="1">
        <f t="shared" si="13"/>
        <v>0.06</v>
      </c>
      <c r="AB83" s="2" t="s">
        <v>178</v>
      </c>
      <c r="AC83" s="1">
        <f t="shared" si="14"/>
        <v>0.19</v>
      </c>
      <c r="AD83" s="2" t="s">
        <v>93</v>
      </c>
      <c r="AE83" s="1">
        <f t="shared" si="15"/>
        <v>0.09</v>
      </c>
      <c r="AF83" s="2" t="s">
        <v>438</v>
      </c>
      <c r="AG83" s="1">
        <f t="shared" si="16"/>
        <v>0.9</v>
      </c>
      <c r="AH83" s="2" t="s">
        <v>559</v>
      </c>
      <c r="AI83" s="1">
        <f t="shared" si="17"/>
        <v>-1.89</v>
      </c>
      <c r="AJ83" s="2" t="s">
        <v>99</v>
      </c>
      <c r="AK83" s="1">
        <f t="shared" si="18"/>
        <v>1.61</v>
      </c>
      <c r="AL83" s="5">
        <v>46082.0</v>
      </c>
      <c r="AM83" s="1">
        <f t="shared" si="19"/>
        <v>3.1</v>
      </c>
      <c r="AN83" s="1" t="s">
        <v>124</v>
      </c>
    </row>
    <row r="84">
      <c r="A84" s="1" t="s">
        <v>560</v>
      </c>
      <c r="B84" s="1" t="s">
        <v>33</v>
      </c>
      <c r="C84" s="2" t="s">
        <v>561</v>
      </c>
      <c r="D84" s="1">
        <f t="shared" si="1"/>
        <v>32.78</v>
      </c>
      <c r="E84" s="2" t="s">
        <v>250</v>
      </c>
      <c r="F84" s="1">
        <f t="shared" si="2"/>
        <v>0.65</v>
      </c>
      <c r="G84" s="1" t="str">
        <f t="shared" si="3"/>
        <v>Medium</v>
      </c>
      <c r="H84" s="2" t="s">
        <v>562</v>
      </c>
      <c r="I84" s="1">
        <f t="shared" si="4"/>
        <v>5848.54</v>
      </c>
      <c r="J84" s="2" t="s">
        <v>248</v>
      </c>
      <c r="K84" s="1">
        <f t="shared" si="5"/>
        <v>0.43</v>
      </c>
      <c r="L84" s="2" t="s">
        <v>82</v>
      </c>
      <c r="M84" s="1">
        <f t="shared" si="6"/>
        <v>0.03</v>
      </c>
      <c r="N84" s="2" t="s">
        <v>80</v>
      </c>
      <c r="O84" s="1">
        <f t="shared" si="7"/>
        <v>0.01</v>
      </c>
      <c r="P84" s="2" t="s">
        <v>563</v>
      </c>
      <c r="Q84" s="1">
        <f t="shared" si="8"/>
        <v>1.36</v>
      </c>
      <c r="R84" s="2" t="s">
        <v>80</v>
      </c>
      <c r="S84" s="1">
        <f t="shared" si="9"/>
        <v>0.01</v>
      </c>
      <c r="T84" s="2" t="s">
        <v>564</v>
      </c>
      <c r="U84" s="1">
        <f t="shared" si="10"/>
        <v>1.88</v>
      </c>
      <c r="V84" s="2" t="s">
        <v>42</v>
      </c>
      <c r="W84" s="1">
        <f t="shared" si="11"/>
        <v>0.18</v>
      </c>
      <c r="X84" s="2" t="s">
        <v>48</v>
      </c>
      <c r="Y84" s="1">
        <f t="shared" si="12"/>
        <v>0.02</v>
      </c>
      <c r="Z84" s="2" t="s">
        <v>181</v>
      </c>
      <c r="AA84" s="1">
        <f t="shared" si="13"/>
        <v>0.05</v>
      </c>
      <c r="AB84" s="2">
        <v>0.0</v>
      </c>
      <c r="AC84" s="1">
        <f t="shared" si="14"/>
        <v>0</v>
      </c>
      <c r="AD84" s="2" t="s">
        <v>49</v>
      </c>
      <c r="AE84" s="1">
        <f t="shared" si="15"/>
        <v>0.04</v>
      </c>
      <c r="AF84" s="2" t="s">
        <v>67</v>
      </c>
      <c r="AG84" s="1">
        <f t="shared" si="16"/>
        <v>0.29</v>
      </c>
      <c r="AH84" s="2" t="s">
        <v>429</v>
      </c>
      <c r="AI84" s="1">
        <f t="shared" si="17"/>
        <v>-1.59</v>
      </c>
      <c r="AJ84" s="6">
        <v>46031.0</v>
      </c>
      <c r="AK84" s="1">
        <f t="shared" si="18"/>
        <v>1.09</v>
      </c>
      <c r="AL84" s="2" t="s">
        <v>565</v>
      </c>
      <c r="AM84" s="1">
        <f t="shared" si="19"/>
        <v>6.58</v>
      </c>
      <c r="AN84" s="1" t="s">
        <v>124</v>
      </c>
    </row>
    <row r="85">
      <c r="A85" s="1" t="s">
        <v>566</v>
      </c>
      <c r="B85" s="1" t="s">
        <v>143</v>
      </c>
      <c r="C85" s="2" t="s">
        <v>567</v>
      </c>
      <c r="D85" s="1">
        <f t="shared" si="1"/>
        <v>4.58</v>
      </c>
      <c r="E85" s="2" t="s">
        <v>215</v>
      </c>
      <c r="F85" s="1">
        <f t="shared" si="2"/>
        <v>0.91</v>
      </c>
      <c r="G85" s="1" t="str">
        <f t="shared" si="3"/>
        <v>Very High</v>
      </c>
      <c r="H85" s="2" t="s">
        <v>568</v>
      </c>
      <c r="I85" s="1">
        <f t="shared" si="4"/>
        <v>52853.6</v>
      </c>
      <c r="J85" s="6">
        <v>46030.0</v>
      </c>
      <c r="K85" s="1">
        <f t="shared" si="5"/>
        <v>1.08</v>
      </c>
      <c r="L85" s="2" t="s">
        <v>231</v>
      </c>
      <c r="M85" s="1">
        <f t="shared" si="6"/>
        <v>0.49</v>
      </c>
      <c r="N85" s="2" t="s">
        <v>36</v>
      </c>
      <c r="O85" s="1">
        <f t="shared" si="7"/>
        <v>0.46</v>
      </c>
      <c r="P85" s="5">
        <v>46103.0</v>
      </c>
      <c r="Q85" s="1">
        <f t="shared" si="8"/>
        <v>3.22</v>
      </c>
      <c r="R85" s="2" t="s">
        <v>42</v>
      </c>
      <c r="S85" s="1">
        <f t="shared" si="9"/>
        <v>0.18</v>
      </c>
      <c r="T85" s="2" t="s">
        <v>569</v>
      </c>
      <c r="U85" s="1">
        <f t="shared" si="10"/>
        <v>5.57</v>
      </c>
      <c r="V85" s="2" t="s">
        <v>344</v>
      </c>
      <c r="W85" s="1">
        <f t="shared" si="11"/>
        <v>0.84</v>
      </c>
      <c r="X85" s="2" t="s">
        <v>376</v>
      </c>
      <c r="Y85" s="1">
        <f t="shared" si="12"/>
        <v>0.76</v>
      </c>
      <c r="Z85" s="2" t="s">
        <v>51</v>
      </c>
      <c r="AA85" s="1">
        <f t="shared" si="13"/>
        <v>0.5</v>
      </c>
      <c r="AB85" s="2" t="s">
        <v>419</v>
      </c>
      <c r="AC85" s="1">
        <f t="shared" si="14"/>
        <v>1.49</v>
      </c>
      <c r="AD85" s="2" t="s">
        <v>240</v>
      </c>
      <c r="AE85" s="1">
        <f t="shared" si="15"/>
        <v>0.13</v>
      </c>
      <c r="AF85" s="2" t="s">
        <v>570</v>
      </c>
      <c r="AG85" s="1">
        <f t="shared" si="16"/>
        <v>3.73</v>
      </c>
      <c r="AH85" s="2" t="s">
        <v>571</v>
      </c>
      <c r="AI85" s="1">
        <f t="shared" si="17"/>
        <v>-1.83</v>
      </c>
      <c r="AJ85" s="5">
        <v>46102.0</v>
      </c>
      <c r="AK85" s="1">
        <f t="shared" si="18"/>
        <v>3.21</v>
      </c>
      <c r="AL85" s="2" t="s">
        <v>419</v>
      </c>
      <c r="AM85" s="1">
        <f t="shared" si="19"/>
        <v>1.49</v>
      </c>
      <c r="AN85" s="1">
        <v>5.0</v>
      </c>
    </row>
    <row r="86">
      <c r="A86" s="1" t="s">
        <v>572</v>
      </c>
      <c r="B86" s="1" t="s">
        <v>33</v>
      </c>
      <c r="C86" s="2" t="s">
        <v>573</v>
      </c>
      <c r="D86" s="1">
        <f t="shared" si="1"/>
        <v>7.64</v>
      </c>
      <c r="E86" s="2" t="s">
        <v>131</v>
      </c>
      <c r="F86" s="1">
        <f t="shared" si="2"/>
        <v>0.89</v>
      </c>
      <c r="G86" s="1" t="str">
        <f t="shared" si="3"/>
        <v>Very High</v>
      </c>
      <c r="H86" s="2" t="s">
        <v>574</v>
      </c>
      <c r="I86" s="1">
        <f t="shared" si="4"/>
        <v>33718.9</v>
      </c>
      <c r="J86" s="2" t="s">
        <v>131</v>
      </c>
      <c r="K86" s="1">
        <f t="shared" si="5"/>
        <v>0.89</v>
      </c>
      <c r="L86" s="2" t="s">
        <v>62</v>
      </c>
      <c r="M86" s="1">
        <f t="shared" si="6"/>
        <v>0.22</v>
      </c>
      <c r="N86" s="2" t="s">
        <v>302</v>
      </c>
      <c r="O86" s="1">
        <f t="shared" si="7"/>
        <v>0.36</v>
      </c>
      <c r="P86" s="2" t="s">
        <v>575</v>
      </c>
      <c r="Q86" s="1">
        <f t="shared" si="8"/>
        <v>4.59</v>
      </c>
      <c r="R86" s="2" t="s">
        <v>68</v>
      </c>
      <c r="S86" s="1">
        <f t="shared" si="9"/>
        <v>0.07</v>
      </c>
      <c r="T86" s="5">
        <v>46195.0</v>
      </c>
      <c r="U86" s="1">
        <f t="shared" si="10"/>
        <v>6.22</v>
      </c>
      <c r="V86" s="2" t="s">
        <v>62</v>
      </c>
      <c r="W86" s="1">
        <f t="shared" si="11"/>
        <v>0.22</v>
      </c>
      <c r="X86" s="2" t="s">
        <v>80</v>
      </c>
      <c r="Y86" s="1">
        <f t="shared" si="12"/>
        <v>0.01</v>
      </c>
      <c r="Z86" s="2" t="s">
        <v>82</v>
      </c>
      <c r="AA86" s="1">
        <f t="shared" si="13"/>
        <v>0.03</v>
      </c>
      <c r="AB86" s="2" t="s">
        <v>48</v>
      </c>
      <c r="AC86" s="1">
        <f t="shared" si="14"/>
        <v>0.02</v>
      </c>
      <c r="AD86" s="2" t="s">
        <v>41</v>
      </c>
      <c r="AE86" s="1">
        <f t="shared" si="15"/>
        <v>0.08</v>
      </c>
      <c r="AF86" s="2" t="s">
        <v>293</v>
      </c>
      <c r="AG86" s="1">
        <f t="shared" si="16"/>
        <v>0.35</v>
      </c>
      <c r="AH86" s="2" t="s">
        <v>576</v>
      </c>
      <c r="AI86" s="1">
        <f t="shared" si="17"/>
        <v>-5.87</v>
      </c>
      <c r="AJ86" s="2" t="s">
        <v>359</v>
      </c>
      <c r="AK86" s="1">
        <f t="shared" si="18"/>
        <v>3.59</v>
      </c>
      <c r="AL86" s="2" t="s">
        <v>577</v>
      </c>
      <c r="AM86" s="1">
        <f t="shared" si="19"/>
        <v>17.59</v>
      </c>
      <c r="AN86" s="1">
        <v>6.0</v>
      </c>
    </row>
    <row r="87">
      <c r="A87" s="1" t="s">
        <v>578</v>
      </c>
      <c r="B87" s="1" t="s">
        <v>143</v>
      </c>
      <c r="C87" s="2" t="s">
        <v>579</v>
      </c>
      <c r="D87" s="1">
        <f t="shared" si="1"/>
        <v>60.92</v>
      </c>
      <c r="E87" s="2" t="s">
        <v>64</v>
      </c>
      <c r="F87" s="1">
        <f t="shared" si="2"/>
        <v>0.87</v>
      </c>
      <c r="G87" s="1" t="str">
        <f t="shared" si="3"/>
        <v>Very High</v>
      </c>
      <c r="H87" s="2" t="s">
        <v>580</v>
      </c>
      <c r="I87" s="1">
        <f t="shared" si="4"/>
        <v>38412</v>
      </c>
      <c r="J87" s="2" t="s">
        <v>215</v>
      </c>
      <c r="K87" s="1">
        <f t="shared" si="5"/>
        <v>0.91</v>
      </c>
      <c r="L87" s="2" t="s">
        <v>310</v>
      </c>
      <c r="M87" s="1">
        <f t="shared" si="6"/>
        <v>0.32</v>
      </c>
      <c r="N87" s="2" t="s">
        <v>201</v>
      </c>
      <c r="O87" s="1">
        <f t="shared" si="7"/>
        <v>0.42</v>
      </c>
      <c r="P87" s="2" t="s">
        <v>581</v>
      </c>
      <c r="Q87" s="1">
        <f t="shared" si="8"/>
        <v>2.77</v>
      </c>
      <c r="R87" s="2" t="s">
        <v>92</v>
      </c>
      <c r="S87" s="1">
        <f t="shared" si="9"/>
        <v>0.12</v>
      </c>
      <c r="T87" s="2" t="s">
        <v>582</v>
      </c>
      <c r="U87" s="1">
        <f t="shared" si="10"/>
        <v>4.61</v>
      </c>
      <c r="V87" s="2" t="s">
        <v>191</v>
      </c>
      <c r="W87" s="1">
        <f t="shared" si="11"/>
        <v>0.58</v>
      </c>
      <c r="X87" s="2" t="s">
        <v>49</v>
      </c>
      <c r="Y87" s="1">
        <f t="shared" si="12"/>
        <v>0.04</v>
      </c>
      <c r="Z87" s="2" t="s">
        <v>90</v>
      </c>
      <c r="AA87" s="1">
        <f t="shared" si="13"/>
        <v>0.33</v>
      </c>
      <c r="AB87" s="2" t="s">
        <v>69</v>
      </c>
      <c r="AC87" s="1">
        <f t="shared" si="14"/>
        <v>0.06</v>
      </c>
      <c r="AD87" s="2" t="s">
        <v>69</v>
      </c>
      <c r="AE87" s="1">
        <f t="shared" si="15"/>
        <v>0.06</v>
      </c>
      <c r="AF87" s="6">
        <v>46030.0</v>
      </c>
      <c r="AG87" s="1">
        <f t="shared" si="16"/>
        <v>1.08</v>
      </c>
      <c r="AH87" s="2" t="s">
        <v>583</v>
      </c>
      <c r="AI87" s="1">
        <f t="shared" si="17"/>
        <v>-3.53</v>
      </c>
      <c r="AJ87" s="2" t="s">
        <v>584</v>
      </c>
      <c r="AK87" s="1">
        <f t="shared" si="18"/>
        <v>2.66</v>
      </c>
      <c r="AL87" s="5">
        <v>46140.0</v>
      </c>
      <c r="AM87" s="1">
        <f t="shared" si="19"/>
        <v>4.28</v>
      </c>
      <c r="AN87" s="1">
        <v>6.0</v>
      </c>
    </row>
    <row r="88">
      <c r="A88" s="1" t="s">
        <v>585</v>
      </c>
      <c r="B88" s="1" t="s">
        <v>103</v>
      </c>
      <c r="C88" s="2" t="s">
        <v>581</v>
      </c>
      <c r="D88" s="1">
        <f t="shared" si="1"/>
        <v>2.77</v>
      </c>
      <c r="E88" s="2" t="s">
        <v>186</v>
      </c>
      <c r="F88" s="1">
        <f t="shared" si="2"/>
        <v>0.72</v>
      </c>
      <c r="G88" s="1" t="str">
        <f t="shared" si="3"/>
        <v>High</v>
      </c>
      <c r="H88" s="2" t="s">
        <v>586</v>
      </c>
      <c r="I88" s="1">
        <f t="shared" si="4"/>
        <v>5226.3</v>
      </c>
      <c r="J88" s="2" t="s">
        <v>283</v>
      </c>
      <c r="K88" s="1">
        <f t="shared" si="5"/>
        <v>0.41</v>
      </c>
      <c r="L88" s="2" t="s">
        <v>93</v>
      </c>
      <c r="M88" s="1">
        <f t="shared" si="6"/>
        <v>0.09</v>
      </c>
      <c r="N88" s="2" t="s">
        <v>42</v>
      </c>
      <c r="O88" s="1">
        <f t="shared" si="7"/>
        <v>0.18</v>
      </c>
      <c r="P88" s="6">
        <v>46031.0</v>
      </c>
      <c r="Q88" s="1">
        <f t="shared" si="8"/>
        <v>1.09</v>
      </c>
      <c r="R88" s="2" t="s">
        <v>68</v>
      </c>
      <c r="S88" s="1">
        <f t="shared" si="9"/>
        <v>0.07</v>
      </c>
      <c r="T88" s="2" t="s">
        <v>519</v>
      </c>
      <c r="U88" s="1">
        <f t="shared" si="10"/>
        <v>1.89</v>
      </c>
      <c r="V88" s="2" t="s">
        <v>78</v>
      </c>
      <c r="W88" s="1">
        <f t="shared" si="11"/>
        <v>0.16</v>
      </c>
      <c r="X88" s="2">
        <v>0.0</v>
      </c>
      <c r="Y88" s="1">
        <f t="shared" si="12"/>
        <v>0</v>
      </c>
      <c r="Z88" s="2" t="s">
        <v>114</v>
      </c>
      <c r="AA88" s="1">
        <f t="shared" si="13"/>
        <v>0.1</v>
      </c>
      <c r="AB88" s="2" t="s">
        <v>149</v>
      </c>
      <c r="AC88" s="1">
        <f t="shared" si="14"/>
        <v>0.11</v>
      </c>
      <c r="AD88" s="2" t="s">
        <v>181</v>
      </c>
      <c r="AE88" s="1">
        <f t="shared" si="15"/>
        <v>0.05</v>
      </c>
      <c r="AF88" s="2" t="s">
        <v>248</v>
      </c>
      <c r="AG88" s="1">
        <f t="shared" si="16"/>
        <v>0.43</v>
      </c>
      <c r="AH88" s="2" t="s">
        <v>171</v>
      </c>
      <c r="AI88" s="1">
        <f t="shared" si="17"/>
        <v>-1.46</v>
      </c>
      <c r="AJ88" s="6">
        <v>46031.0</v>
      </c>
      <c r="AK88" s="1">
        <f t="shared" si="18"/>
        <v>1.09</v>
      </c>
      <c r="AL88" s="2" t="s">
        <v>587</v>
      </c>
      <c r="AM88" s="1">
        <f t="shared" si="19"/>
        <v>4.39</v>
      </c>
      <c r="AN88" s="1" t="s">
        <v>124</v>
      </c>
    </row>
    <row r="89">
      <c r="A89" s="1" t="s">
        <v>588</v>
      </c>
      <c r="B89" s="1" t="s">
        <v>134</v>
      </c>
      <c r="C89" s="2" t="s">
        <v>589</v>
      </c>
      <c r="D89" s="1">
        <f t="shared" si="1"/>
        <v>127.25</v>
      </c>
      <c r="E89" s="2" t="s">
        <v>131</v>
      </c>
      <c r="F89" s="1">
        <f t="shared" si="2"/>
        <v>0.89</v>
      </c>
      <c r="G89" s="1" t="str">
        <f t="shared" si="3"/>
        <v>Very High</v>
      </c>
      <c r="H89" s="2" t="s">
        <v>590</v>
      </c>
      <c r="I89" s="1">
        <f t="shared" si="4"/>
        <v>46201.6</v>
      </c>
      <c r="J89" s="2" t="s">
        <v>465</v>
      </c>
      <c r="K89" s="1">
        <f t="shared" si="5"/>
        <v>0.53</v>
      </c>
      <c r="L89" s="2" t="s">
        <v>114</v>
      </c>
      <c r="M89" s="1">
        <f t="shared" si="6"/>
        <v>0.1</v>
      </c>
      <c r="N89" s="2" t="s">
        <v>81</v>
      </c>
      <c r="O89" s="1">
        <f t="shared" si="7"/>
        <v>0.27</v>
      </c>
      <c r="P89" s="2" t="s">
        <v>591</v>
      </c>
      <c r="Q89" s="1">
        <f t="shared" si="8"/>
        <v>3.69</v>
      </c>
      <c r="R89" s="2" t="s">
        <v>90</v>
      </c>
      <c r="S89" s="1">
        <f t="shared" si="9"/>
        <v>0.33</v>
      </c>
      <c r="T89" s="6">
        <v>46144.0</v>
      </c>
      <c r="U89" s="1">
        <f t="shared" si="10"/>
        <v>5.02</v>
      </c>
      <c r="V89" s="2" t="s">
        <v>78</v>
      </c>
      <c r="W89" s="1">
        <f t="shared" si="11"/>
        <v>0.16</v>
      </c>
      <c r="X89" s="2">
        <v>0.0</v>
      </c>
      <c r="Y89" s="1">
        <f t="shared" si="12"/>
        <v>0</v>
      </c>
      <c r="Z89" s="2" t="s">
        <v>293</v>
      </c>
      <c r="AA89" s="1">
        <f t="shared" si="13"/>
        <v>0.35</v>
      </c>
      <c r="AB89" s="2" t="s">
        <v>114</v>
      </c>
      <c r="AC89" s="1">
        <f t="shared" si="14"/>
        <v>0.1</v>
      </c>
      <c r="AD89" s="2" t="s">
        <v>114</v>
      </c>
      <c r="AE89" s="1">
        <f t="shared" si="15"/>
        <v>0.1</v>
      </c>
      <c r="AF89" s="2" t="s">
        <v>186</v>
      </c>
      <c r="AG89" s="1">
        <f t="shared" si="16"/>
        <v>0.72</v>
      </c>
      <c r="AH89" s="2" t="s">
        <v>592</v>
      </c>
      <c r="AI89" s="1">
        <f t="shared" si="17"/>
        <v>-4.3</v>
      </c>
      <c r="AJ89" s="5">
        <v>46062.0</v>
      </c>
      <c r="AK89" s="1">
        <f t="shared" si="18"/>
        <v>2.9</v>
      </c>
      <c r="AL89" s="6">
        <v>46204.0</v>
      </c>
      <c r="AM89" s="1">
        <f t="shared" si="19"/>
        <v>7.01</v>
      </c>
      <c r="AN89" s="1">
        <v>6.0</v>
      </c>
    </row>
    <row r="90">
      <c r="A90" s="1" t="s">
        <v>593</v>
      </c>
      <c r="B90" s="1" t="s">
        <v>33</v>
      </c>
      <c r="C90" s="6">
        <v>46204.0</v>
      </c>
      <c r="D90" s="1">
        <f t="shared" si="1"/>
        <v>7.01</v>
      </c>
      <c r="E90" s="2" t="s">
        <v>167</v>
      </c>
      <c r="F90" s="1">
        <f t="shared" si="2"/>
        <v>0.75</v>
      </c>
      <c r="G90" s="1" t="str">
        <f t="shared" si="3"/>
        <v>High</v>
      </c>
      <c r="H90" s="2" t="s">
        <v>594</v>
      </c>
      <c r="I90" s="1">
        <f t="shared" si="4"/>
        <v>4615.17</v>
      </c>
      <c r="J90" s="2" t="s">
        <v>100</v>
      </c>
      <c r="K90" s="1">
        <f t="shared" si="5"/>
        <v>0.54</v>
      </c>
      <c r="L90" s="2" t="s">
        <v>42</v>
      </c>
      <c r="M90" s="1">
        <f t="shared" si="6"/>
        <v>0.18</v>
      </c>
      <c r="N90" s="2" t="s">
        <v>79</v>
      </c>
      <c r="O90" s="1">
        <f t="shared" si="7"/>
        <v>0.17</v>
      </c>
      <c r="P90" s="6">
        <v>46031.0</v>
      </c>
      <c r="Q90" s="1">
        <f t="shared" si="8"/>
        <v>1.09</v>
      </c>
      <c r="R90" s="2" t="s">
        <v>82</v>
      </c>
      <c r="S90" s="1">
        <f t="shared" si="9"/>
        <v>0.03</v>
      </c>
      <c r="T90" s="5">
        <v>46054.0</v>
      </c>
      <c r="U90" s="1">
        <f t="shared" si="10"/>
        <v>2.1</v>
      </c>
      <c r="V90" s="2" t="s">
        <v>93</v>
      </c>
      <c r="W90" s="1">
        <f t="shared" si="11"/>
        <v>0.09</v>
      </c>
      <c r="X90" s="2" t="s">
        <v>48</v>
      </c>
      <c r="Y90" s="1">
        <f t="shared" si="12"/>
        <v>0.02</v>
      </c>
      <c r="Z90" s="2" t="s">
        <v>82</v>
      </c>
      <c r="AA90" s="1">
        <f t="shared" si="13"/>
        <v>0.03</v>
      </c>
      <c r="AB90" s="2">
        <v>0.0</v>
      </c>
      <c r="AC90" s="1">
        <f t="shared" si="14"/>
        <v>0</v>
      </c>
      <c r="AD90" s="2" t="s">
        <v>68</v>
      </c>
      <c r="AE90" s="1">
        <f t="shared" si="15"/>
        <v>0.07</v>
      </c>
      <c r="AF90" s="2" t="s">
        <v>66</v>
      </c>
      <c r="AG90" s="1">
        <f t="shared" si="16"/>
        <v>0.21</v>
      </c>
      <c r="AH90" s="2" t="s">
        <v>559</v>
      </c>
      <c r="AI90" s="1">
        <f t="shared" si="17"/>
        <v>-1.89</v>
      </c>
      <c r="AJ90" s="5">
        <v>46043.0</v>
      </c>
      <c r="AK90" s="1">
        <f t="shared" si="18"/>
        <v>1.21</v>
      </c>
      <c r="AL90" s="2" t="s">
        <v>595</v>
      </c>
      <c r="AM90" s="1">
        <f t="shared" si="19"/>
        <v>9.91</v>
      </c>
      <c r="AN90" s="1">
        <v>5.0</v>
      </c>
    </row>
    <row r="91">
      <c r="A91" s="1" t="s">
        <v>596</v>
      </c>
      <c r="B91" s="1" t="s">
        <v>33</v>
      </c>
      <c r="C91" s="2" t="s">
        <v>597</v>
      </c>
      <c r="D91" s="1">
        <f t="shared" si="1"/>
        <v>16.27</v>
      </c>
      <c r="E91" s="2" t="s">
        <v>61</v>
      </c>
      <c r="F91" s="1">
        <f t="shared" si="2"/>
        <v>0.78</v>
      </c>
      <c r="G91" s="1" t="str">
        <f t="shared" si="3"/>
        <v>High</v>
      </c>
      <c r="H91" s="2" t="s">
        <v>598</v>
      </c>
      <c r="I91" s="1">
        <f t="shared" si="4"/>
        <v>11278</v>
      </c>
      <c r="J91" s="2" t="s">
        <v>191</v>
      </c>
      <c r="K91" s="1">
        <f t="shared" si="5"/>
        <v>0.58</v>
      </c>
      <c r="L91" s="2" t="s">
        <v>178</v>
      </c>
      <c r="M91" s="1">
        <f t="shared" si="6"/>
        <v>0.19</v>
      </c>
      <c r="N91" s="2" t="s">
        <v>92</v>
      </c>
      <c r="O91" s="1">
        <f t="shared" si="7"/>
        <v>0.12</v>
      </c>
      <c r="P91" s="2" t="s">
        <v>575</v>
      </c>
      <c r="Q91" s="1">
        <f t="shared" si="8"/>
        <v>4.59</v>
      </c>
      <c r="R91" s="2" t="s">
        <v>82</v>
      </c>
      <c r="S91" s="1">
        <f t="shared" si="9"/>
        <v>0.03</v>
      </c>
      <c r="T91" s="2" t="s">
        <v>599</v>
      </c>
      <c r="U91" s="1">
        <f t="shared" si="10"/>
        <v>5.55</v>
      </c>
      <c r="V91" s="5">
        <v>46036.0</v>
      </c>
      <c r="W91" s="1">
        <f t="shared" si="11"/>
        <v>1.14</v>
      </c>
      <c r="X91" s="2" t="s">
        <v>600</v>
      </c>
      <c r="Y91" s="1">
        <f t="shared" si="12"/>
        <v>1.93</v>
      </c>
      <c r="Z91" s="2" t="s">
        <v>45</v>
      </c>
      <c r="AA91" s="1">
        <f t="shared" si="13"/>
        <v>0.24</v>
      </c>
      <c r="AB91" s="2" t="s">
        <v>69</v>
      </c>
      <c r="AC91" s="1">
        <f t="shared" si="14"/>
        <v>0.06</v>
      </c>
      <c r="AD91" s="2" t="s">
        <v>82</v>
      </c>
      <c r="AE91" s="1">
        <f t="shared" si="15"/>
        <v>0.03</v>
      </c>
      <c r="AF91" s="2" t="s">
        <v>328</v>
      </c>
      <c r="AG91" s="1">
        <f t="shared" si="16"/>
        <v>3.41</v>
      </c>
      <c r="AH91" s="2" t="s">
        <v>601</v>
      </c>
      <c r="AI91" s="1">
        <f t="shared" si="17"/>
        <v>-2.14</v>
      </c>
      <c r="AJ91" s="5">
        <v>46083.0</v>
      </c>
      <c r="AK91" s="1">
        <f t="shared" si="18"/>
        <v>3.2</v>
      </c>
      <c r="AL91" s="2" t="s">
        <v>263</v>
      </c>
      <c r="AM91" s="1">
        <f t="shared" si="19"/>
        <v>1.63</v>
      </c>
      <c r="AN91" s="1" t="s">
        <v>164</v>
      </c>
    </row>
    <row r="92">
      <c r="A92" s="1" t="s">
        <v>602</v>
      </c>
      <c r="B92" s="1" t="s">
        <v>73</v>
      </c>
      <c r="C92" s="2" t="s">
        <v>603</v>
      </c>
      <c r="D92" s="1">
        <f t="shared" si="1"/>
        <v>43.18</v>
      </c>
      <c r="E92" s="2" t="s">
        <v>100</v>
      </c>
      <c r="F92" s="1">
        <f t="shared" si="2"/>
        <v>0.54</v>
      </c>
      <c r="G92" s="1" t="str">
        <f t="shared" si="3"/>
        <v>Low</v>
      </c>
      <c r="H92" s="2" t="s">
        <v>604</v>
      </c>
      <c r="I92" s="1">
        <f t="shared" si="4"/>
        <v>1062.11</v>
      </c>
      <c r="J92" s="2" t="s">
        <v>63</v>
      </c>
      <c r="K92" s="1">
        <f t="shared" si="5"/>
        <v>0.25</v>
      </c>
      <c r="L92" s="2" t="s">
        <v>365</v>
      </c>
      <c r="M92" s="1">
        <f t="shared" si="6"/>
        <v>0.23</v>
      </c>
      <c r="N92" s="2" t="s">
        <v>81</v>
      </c>
      <c r="O92" s="1">
        <f t="shared" si="7"/>
        <v>0.27</v>
      </c>
      <c r="P92" s="2" t="s">
        <v>40</v>
      </c>
      <c r="Q92" s="1">
        <f t="shared" si="8"/>
        <v>0.2</v>
      </c>
      <c r="R92" s="2" t="s">
        <v>181</v>
      </c>
      <c r="S92" s="1">
        <f t="shared" si="9"/>
        <v>0.05</v>
      </c>
      <c r="T92" s="6">
        <v>46025.0</v>
      </c>
      <c r="U92" s="1">
        <f t="shared" si="10"/>
        <v>1.03</v>
      </c>
      <c r="V92" s="2" t="s">
        <v>40</v>
      </c>
      <c r="W92" s="1">
        <f t="shared" si="11"/>
        <v>0.2</v>
      </c>
      <c r="X92" s="2" t="s">
        <v>45</v>
      </c>
      <c r="Y92" s="1">
        <f t="shared" si="12"/>
        <v>0.24</v>
      </c>
      <c r="Z92" s="2" t="s">
        <v>48</v>
      </c>
      <c r="AA92" s="1">
        <f t="shared" si="13"/>
        <v>0.02</v>
      </c>
      <c r="AB92" s="2" t="s">
        <v>48</v>
      </c>
      <c r="AC92" s="1">
        <f t="shared" si="14"/>
        <v>0.02</v>
      </c>
      <c r="AD92" s="2" t="s">
        <v>49</v>
      </c>
      <c r="AE92" s="1">
        <f t="shared" si="15"/>
        <v>0.04</v>
      </c>
      <c r="AF92" s="2" t="s">
        <v>233</v>
      </c>
      <c r="AG92" s="1">
        <f t="shared" si="16"/>
        <v>0.51</v>
      </c>
      <c r="AH92" s="2" t="s">
        <v>454</v>
      </c>
      <c r="AI92" s="1">
        <f t="shared" si="17"/>
        <v>-0.52</v>
      </c>
      <c r="AJ92" s="2" t="s">
        <v>77</v>
      </c>
      <c r="AK92" s="1">
        <f t="shared" si="18"/>
        <v>0.6</v>
      </c>
      <c r="AL92" s="6">
        <v>46055.0</v>
      </c>
      <c r="AM92" s="1">
        <f t="shared" si="19"/>
        <v>2.02</v>
      </c>
      <c r="AN92" s="1">
        <v>5.0</v>
      </c>
    </row>
    <row r="93">
      <c r="A93" s="1" t="s">
        <v>605</v>
      </c>
      <c r="B93" s="1" t="s">
        <v>134</v>
      </c>
      <c r="C93" s="2" t="s">
        <v>606</v>
      </c>
      <c r="D93" s="1">
        <f t="shared" si="1"/>
        <v>24.76</v>
      </c>
      <c r="F93" s="1" t="str">
        <f t="shared" si="2"/>
        <v/>
      </c>
      <c r="G93" s="1" t="str">
        <f t="shared" si="3"/>
        <v>Unknown</v>
      </c>
      <c r="I93" s="1" t="str">
        <f t="shared" si="4"/>
        <v/>
      </c>
      <c r="J93" s="2" t="s">
        <v>203</v>
      </c>
      <c r="K93" s="1">
        <f t="shared" si="5"/>
        <v>0.28</v>
      </c>
      <c r="L93" s="2">
        <v>0.0</v>
      </c>
      <c r="M93" s="1">
        <f t="shared" si="6"/>
        <v>0</v>
      </c>
      <c r="N93" s="2" t="s">
        <v>154</v>
      </c>
      <c r="O93" s="1">
        <f t="shared" si="7"/>
        <v>0.14</v>
      </c>
      <c r="P93" s="2" t="s">
        <v>324</v>
      </c>
      <c r="Q93" s="1">
        <f t="shared" si="8"/>
        <v>0.68</v>
      </c>
      <c r="R93" s="2" t="s">
        <v>48</v>
      </c>
      <c r="S93" s="1">
        <f t="shared" si="9"/>
        <v>0.02</v>
      </c>
      <c r="T93" s="5">
        <v>46039.0</v>
      </c>
      <c r="U93" s="1">
        <f t="shared" si="10"/>
        <v>1.17</v>
      </c>
      <c r="V93" s="2" t="s">
        <v>45</v>
      </c>
      <c r="W93" s="1">
        <f t="shared" si="11"/>
        <v>0.24</v>
      </c>
      <c r="X93" s="2">
        <v>0.0</v>
      </c>
      <c r="Y93" s="1">
        <f t="shared" si="12"/>
        <v>0</v>
      </c>
      <c r="Z93" s="2" t="s">
        <v>66</v>
      </c>
      <c r="AA93" s="1">
        <f t="shared" si="13"/>
        <v>0.21</v>
      </c>
      <c r="AB93" s="2" t="s">
        <v>93</v>
      </c>
      <c r="AC93" s="1">
        <f t="shared" si="14"/>
        <v>0.09</v>
      </c>
      <c r="AD93" s="2" t="s">
        <v>69</v>
      </c>
      <c r="AE93" s="1">
        <f t="shared" si="15"/>
        <v>0.06</v>
      </c>
      <c r="AF93" s="2" t="s">
        <v>77</v>
      </c>
      <c r="AG93" s="1">
        <f t="shared" si="16"/>
        <v>0.6</v>
      </c>
      <c r="AH93" s="2" t="s">
        <v>607</v>
      </c>
      <c r="AI93" s="1">
        <f t="shared" si="17"/>
        <v>-0.57</v>
      </c>
      <c r="AJ93" s="2" t="s">
        <v>254</v>
      </c>
      <c r="AK93" s="1">
        <f t="shared" si="18"/>
        <v>0.67</v>
      </c>
      <c r="AL93" s="2" t="s">
        <v>608</v>
      </c>
      <c r="AM93" s="1">
        <f t="shared" si="19"/>
        <v>1.94</v>
      </c>
      <c r="AN93" s="1">
        <v>6.0</v>
      </c>
    </row>
    <row r="94">
      <c r="A94" s="1" t="s">
        <v>609</v>
      </c>
      <c r="B94" s="1" t="s">
        <v>134</v>
      </c>
      <c r="C94" s="2">
        <v>49.0</v>
      </c>
      <c r="D94" s="1">
        <f t="shared" si="1"/>
        <v>49</v>
      </c>
      <c r="E94" s="2" t="s">
        <v>131</v>
      </c>
      <c r="F94" s="1">
        <f t="shared" si="2"/>
        <v>0.89</v>
      </c>
      <c r="G94" s="1" t="str">
        <f t="shared" si="3"/>
        <v>Very High</v>
      </c>
      <c r="H94" s="2" t="s">
        <v>610</v>
      </c>
      <c r="I94" s="1">
        <f t="shared" si="4"/>
        <v>24155.8</v>
      </c>
      <c r="J94" s="2" t="s">
        <v>163</v>
      </c>
      <c r="K94" s="1">
        <f t="shared" si="5"/>
        <v>0.71</v>
      </c>
      <c r="L94" s="2" t="s">
        <v>92</v>
      </c>
      <c r="M94" s="1">
        <f t="shared" si="6"/>
        <v>0.12</v>
      </c>
      <c r="N94" s="2" t="s">
        <v>66</v>
      </c>
      <c r="O94" s="1">
        <f t="shared" si="7"/>
        <v>0.21</v>
      </c>
      <c r="P94" s="5">
        <v>46129.0</v>
      </c>
      <c r="Q94" s="1">
        <f t="shared" si="8"/>
        <v>4.17</v>
      </c>
      <c r="R94" s="2" t="s">
        <v>283</v>
      </c>
      <c r="S94" s="1">
        <f t="shared" si="9"/>
        <v>0.41</v>
      </c>
      <c r="T94" s="2" t="s">
        <v>611</v>
      </c>
      <c r="U94" s="1">
        <f t="shared" si="10"/>
        <v>5.69</v>
      </c>
      <c r="V94" s="2" t="s">
        <v>240</v>
      </c>
      <c r="W94" s="1">
        <f t="shared" si="11"/>
        <v>0.13</v>
      </c>
      <c r="X94" s="2">
        <v>0.0</v>
      </c>
      <c r="Y94" s="1">
        <f t="shared" si="12"/>
        <v>0</v>
      </c>
      <c r="Z94" s="2" t="s">
        <v>93</v>
      </c>
      <c r="AA94" s="1">
        <f t="shared" si="13"/>
        <v>0.09</v>
      </c>
      <c r="AB94" s="2" t="s">
        <v>378</v>
      </c>
      <c r="AC94" s="1">
        <f t="shared" si="14"/>
        <v>0.4</v>
      </c>
      <c r="AD94" s="2" t="s">
        <v>69</v>
      </c>
      <c r="AE94" s="1">
        <f t="shared" si="15"/>
        <v>0.06</v>
      </c>
      <c r="AF94" s="2" t="s">
        <v>324</v>
      </c>
      <c r="AG94" s="1">
        <f t="shared" si="16"/>
        <v>0.68</v>
      </c>
      <c r="AH94" s="2" t="s">
        <v>612</v>
      </c>
      <c r="AI94" s="1">
        <f t="shared" si="17"/>
        <v>-5.01</v>
      </c>
      <c r="AJ94" s="5">
        <v>46110.0</v>
      </c>
      <c r="AK94" s="1">
        <f t="shared" si="18"/>
        <v>3.29</v>
      </c>
      <c r="AL94" s="2" t="s">
        <v>613</v>
      </c>
      <c r="AM94" s="1">
        <f t="shared" si="19"/>
        <v>8.36</v>
      </c>
      <c r="AN94" s="1">
        <v>5.0</v>
      </c>
    </row>
    <row r="95">
      <c r="A95" s="1" t="s">
        <v>614</v>
      </c>
      <c r="B95" s="1" t="s">
        <v>33</v>
      </c>
      <c r="C95" s="5">
        <v>46106.0</v>
      </c>
      <c r="D95" s="1">
        <f t="shared" si="1"/>
        <v>3.25</v>
      </c>
      <c r="E95" s="2" t="s">
        <v>162</v>
      </c>
      <c r="F95" s="1">
        <f t="shared" si="2"/>
        <v>0.82</v>
      </c>
      <c r="G95" s="1" t="str">
        <f t="shared" si="3"/>
        <v>Very High</v>
      </c>
      <c r="H95" s="2" t="s">
        <v>615</v>
      </c>
      <c r="I95" s="1">
        <f t="shared" si="4"/>
        <v>41830.5</v>
      </c>
      <c r="J95" s="2" t="s">
        <v>65</v>
      </c>
      <c r="K95" s="1">
        <f t="shared" si="5"/>
        <v>0.55</v>
      </c>
      <c r="L95" s="2" t="s">
        <v>45</v>
      </c>
      <c r="M95" s="1">
        <f t="shared" si="6"/>
        <v>0.24</v>
      </c>
      <c r="N95" s="2" t="s">
        <v>66</v>
      </c>
      <c r="O95" s="1">
        <f t="shared" si="7"/>
        <v>0.21</v>
      </c>
      <c r="P95" s="2" t="s">
        <v>616</v>
      </c>
      <c r="Q95" s="1">
        <f t="shared" si="8"/>
        <v>6.89</v>
      </c>
      <c r="R95" s="2" t="s">
        <v>93</v>
      </c>
      <c r="S95" s="1">
        <f t="shared" si="9"/>
        <v>0.09</v>
      </c>
      <c r="T95" s="5">
        <v>46247.0</v>
      </c>
      <c r="U95" s="1">
        <f t="shared" si="10"/>
        <v>8.13</v>
      </c>
      <c r="V95" s="2" t="s">
        <v>48</v>
      </c>
      <c r="W95" s="1">
        <f t="shared" si="11"/>
        <v>0.02</v>
      </c>
      <c r="X95" s="2" t="s">
        <v>80</v>
      </c>
      <c r="Y95" s="1">
        <f t="shared" si="12"/>
        <v>0.01</v>
      </c>
      <c r="Z95" s="2">
        <v>0.0</v>
      </c>
      <c r="AA95" s="1">
        <f t="shared" si="13"/>
        <v>0</v>
      </c>
      <c r="AB95" s="2" t="s">
        <v>101</v>
      </c>
      <c r="AC95" s="1">
        <f t="shared" si="14"/>
        <v>0.37</v>
      </c>
      <c r="AD95" s="2" t="s">
        <v>91</v>
      </c>
      <c r="AE95" s="1">
        <f t="shared" si="15"/>
        <v>0.15</v>
      </c>
      <c r="AF95" s="2" t="s">
        <v>65</v>
      </c>
      <c r="AG95" s="1">
        <f t="shared" si="16"/>
        <v>0.55</v>
      </c>
      <c r="AH95" s="2" t="s">
        <v>617</v>
      </c>
      <c r="AI95" s="1">
        <f t="shared" si="17"/>
        <v>-7.58</v>
      </c>
      <c r="AJ95" s="5">
        <v>46119.0</v>
      </c>
      <c r="AK95" s="1">
        <f t="shared" si="18"/>
        <v>4.7</v>
      </c>
      <c r="AL95" s="2" t="s">
        <v>618</v>
      </c>
      <c r="AM95" s="1">
        <f t="shared" si="19"/>
        <v>14.68</v>
      </c>
      <c r="AN95" s="1" t="s">
        <v>164</v>
      </c>
    </row>
    <row r="96">
      <c r="A96" s="1" t="s">
        <v>619</v>
      </c>
      <c r="B96" s="1" t="s">
        <v>33</v>
      </c>
      <c r="C96" s="2" t="s">
        <v>620</v>
      </c>
      <c r="D96" s="1">
        <f t="shared" si="1"/>
        <v>5.47</v>
      </c>
      <c r="E96" s="2" t="s">
        <v>250</v>
      </c>
      <c r="F96" s="1">
        <f t="shared" si="2"/>
        <v>0.65</v>
      </c>
      <c r="G96" s="1" t="str">
        <f t="shared" si="3"/>
        <v>Medium</v>
      </c>
      <c r="H96" s="2" t="s">
        <v>621</v>
      </c>
      <c r="I96" s="1">
        <f t="shared" si="4"/>
        <v>1116.37</v>
      </c>
      <c r="J96" s="2" t="s">
        <v>83</v>
      </c>
      <c r="K96" s="1">
        <f t="shared" si="5"/>
        <v>0.59</v>
      </c>
      <c r="L96" s="2" t="s">
        <v>42</v>
      </c>
      <c r="M96" s="1">
        <f t="shared" si="6"/>
        <v>0.18</v>
      </c>
      <c r="N96" s="2" t="s">
        <v>93</v>
      </c>
      <c r="O96" s="1">
        <f t="shared" si="7"/>
        <v>0.09</v>
      </c>
      <c r="P96" s="2" t="s">
        <v>540</v>
      </c>
      <c r="Q96" s="1">
        <f t="shared" si="8"/>
        <v>0.95</v>
      </c>
      <c r="R96" s="2" t="s">
        <v>80</v>
      </c>
      <c r="S96" s="1">
        <f t="shared" si="9"/>
        <v>0.01</v>
      </c>
      <c r="T96" s="2" t="s">
        <v>266</v>
      </c>
      <c r="U96" s="1">
        <f t="shared" si="10"/>
        <v>1.91</v>
      </c>
      <c r="V96" s="2" t="s">
        <v>300</v>
      </c>
      <c r="W96" s="1">
        <f t="shared" si="11"/>
        <v>0.47</v>
      </c>
      <c r="X96" s="2" t="s">
        <v>147</v>
      </c>
      <c r="Y96" s="1">
        <f t="shared" si="12"/>
        <v>0.63</v>
      </c>
      <c r="Z96" s="2" t="s">
        <v>69</v>
      </c>
      <c r="AA96" s="1">
        <f t="shared" si="13"/>
        <v>0.06</v>
      </c>
      <c r="AB96" s="2" t="s">
        <v>181</v>
      </c>
      <c r="AC96" s="1">
        <f t="shared" si="14"/>
        <v>0.05</v>
      </c>
      <c r="AD96" s="2" t="s">
        <v>41</v>
      </c>
      <c r="AE96" s="1">
        <f t="shared" si="15"/>
        <v>0.08</v>
      </c>
      <c r="AF96" s="5">
        <v>46025.0</v>
      </c>
      <c r="AG96" s="1">
        <f t="shared" si="16"/>
        <v>1.3</v>
      </c>
      <c r="AH96" s="2" t="s">
        <v>622</v>
      </c>
      <c r="AI96" s="1">
        <f t="shared" si="17"/>
        <v>-0.61</v>
      </c>
      <c r="AJ96" s="5">
        <v>46023.0</v>
      </c>
      <c r="AK96" s="1">
        <f t="shared" si="18"/>
        <v>1.1</v>
      </c>
      <c r="AL96" s="2" t="s">
        <v>417</v>
      </c>
      <c r="AM96" s="1">
        <f t="shared" si="19"/>
        <v>1.47</v>
      </c>
      <c r="AN96" s="1" t="s">
        <v>124</v>
      </c>
    </row>
    <row r="97">
      <c r="A97" s="1" t="s">
        <v>623</v>
      </c>
      <c r="B97" s="1" t="s">
        <v>134</v>
      </c>
      <c r="C97" s="2" t="s">
        <v>624</v>
      </c>
      <c r="D97" s="1">
        <f t="shared" si="1"/>
        <v>6.65</v>
      </c>
      <c r="E97" s="2" t="s">
        <v>157</v>
      </c>
      <c r="F97" s="1">
        <f t="shared" si="2"/>
        <v>0.56</v>
      </c>
      <c r="G97" s="1" t="str">
        <f t="shared" si="3"/>
        <v>Medium</v>
      </c>
      <c r="H97" s="2" t="s">
        <v>625</v>
      </c>
      <c r="I97" s="1">
        <f t="shared" si="4"/>
        <v>1236.24</v>
      </c>
      <c r="J97" s="2" t="s">
        <v>138</v>
      </c>
      <c r="K97" s="1">
        <f t="shared" si="5"/>
        <v>0.57</v>
      </c>
      <c r="L97" s="2" t="s">
        <v>41</v>
      </c>
      <c r="M97" s="1">
        <f t="shared" si="6"/>
        <v>0.08</v>
      </c>
      <c r="N97" s="2" t="s">
        <v>302</v>
      </c>
      <c r="O97" s="1">
        <f t="shared" si="7"/>
        <v>0.36</v>
      </c>
      <c r="P97" s="2" t="s">
        <v>93</v>
      </c>
      <c r="Q97" s="1">
        <f t="shared" si="8"/>
        <v>0.09</v>
      </c>
      <c r="R97" s="2" t="s">
        <v>80</v>
      </c>
      <c r="S97" s="1">
        <f t="shared" si="9"/>
        <v>0.01</v>
      </c>
      <c r="T97" s="5">
        <v>46044.0</v>
      </c>
      <c r="U97" s="1">
        <f t="shared" si="10"/>
        <v>1.22</v>
      </c>
      <c r="V97" s="2" t="s">
        <v>138</v>
      </c>
      <c r="W97" s="1">
        <f t="shared" si="11"/>
        <v>0.57</v>
      </c>
      <c r="X97" s="2" t="s">
        <v>240</v>
      </c>
      <c r="Y97" s="1">
        <f t="shared" si="12"/>
        <v>0.13</v>
      </c>
      <c r="Z97" s="2" t="s">
        <v>61</v>
      </c>
      <c r="AA97" s="1">
        <f t="shared" si="13"/>
        <v>0.78</v>
      </c>
      <c r="AB97" s="2" t="s">
        <v>82</v>
      </c>
      <c r="AC97" s="1">
        <f t="shared" si="14"/>
        <v>0.03</v>
      </c>
      <c r="AD97" s="2" t="s">
        <v>149</v>
      </c>
      <c r="AE97" s="1">
        <f t="shared" si="15"/>
        <v>0.11</v>
      </c>
      <c r="AF97" s="2" t="s">
        <v>626</v>
      </c>
      <c r="AG97" s="1">
        <f t="shared" si="16"/>
        <v>1.62</v>
      </c>
      <c r="AH97" s="2" t="s">
        <v>378</v>
      </c>
      <c r="AI97" s="1">
        <f t="shared" si="17"/>
        <v>0.4</v>
      </c>
      <c r="AJ97" s="2" t="s">
        <v>305</v>
      </c>
      <c r="AK97" s="1">
        <f t="shared" si="18"/>
        <v>0.7</v>
      </c>
      <c r="AL97" s="2" t="s">
        <v>167</v>
      </c>
      <c r="AM97" s="1">
        <f t="shared" si="19"/>
        <v>0.75</v>
      </c>
      <c r="AN97" s="1">
        <v>6.0</v>
      </c>
    </row>
    <row r="98">
      <c r="A98" s="1" t="s">
        <v>627</v>
      </c>
      <c r="B98" s="1" t="s">
        <v>143</v>
      </c>
      <c r="C98" s="6">
        <v>46059.0</v>
      </c>
      <c r="D98" s="1">
        <f t="shared" si="1"/>
        <v>2.06</v>
      </c>
      <c r="E98" s="2" t="s">
        <v>236</v>
      </c>
      <c r="F98" s="1">
        <f t="shared" si="2"/>
        <v>0.81</v>
      </c>
      <c r="G98" s="1" t="str">
        <f t="shared" si="3"/>
        <v>Very High</v>
      </c>
      <c r="H98" s="2" t="s">
        <v>628</v>
      </c>
      <c r="I98" s="1">
        <f t="shared" si="4"/>
        <v>13732</v>
      </c>
      <c r="J98" s="5">
        <v>46081.0</v>
      </c>
      <c r="K98" s="1">
        <f t="shared" si="5"/>
        <v>2.28</v>
      </c>
      <c r="L98" s="2" t="s">
        <v>93</v>
      </c>
      <c r="M98" s="1">
        <f t="shared" si="6"/>
        <v>0.09</v>
      </c>
      <c r="N98" s="6">
        <v>46055.0</v>
      </c>
      <c r="O98" s="1">
        <f t="shared" si="7"/>
        <v>2.02</v>
      </c>
      <c r="P98" s="2" t="s">
        <v>468</v>
      </c>
      <c r="Q98" s="1">
        <f t="shared" si="8"/>
        <v>1.66</v>
      </c>
      <c r="R98" s="2" t="s">
        <v>149</v>
      </c>
      <c r="S98" s="1">
        <f t="shared" si="9"/>
        <v>0.11</v>
      </c>
      <c r="T98" s="5">
        <v>46202.0</v>
      </c>
      <c r="U98" s="1">
        <f t="shared" si="10"/>
        <v>6.29</v>
      </c>
      <c r="V98" s="5">
        <v>46082.0</v>
      </c>
      <c r="W98" s="1">
        <f t="shared" si="11"/>
        <v>3.1</v>
      </c>
      <c r="X98" s="2" t="s">
        <v>285</v>
      </c>
      <c r="Y98" s="1">
        <f t="shared" si="12"/>
        <v>0.31</v>
      </c>
      <c r="Z98" s="6">
        <v>46120.0</v>
      </c>
      <c r="AA98" s="1">
        <f t="shared" si="13"/>
        <v>4.08</v>
      </c>
      <c r="AB98" s="2" t="s">
        <v>600</v>
      </c>
      <c r="AC98" s="1">
        <f t="shared" si="14"/>
        <v>1.93</v>
      </c>
      <c r="AD98" s="2" t="s">
        <v>240</v>
      </c>
      <c r="AE98" s="1">
        <f t="shared" si="15"/>
        <v>0.13</v>
      </c>
      <c r="AF98" s="2" t="s">
        <v>183</v>
      </c>
      <c r="AG98" s="1">
        <f t="shared" si="16"/>
        <v>9.55</v>
      </c>
      <c r="AH98" s="5">
        <v>46107.0</v>
      </c>
      <c r="AI98" s="1">
        <f t="shared" si="17"/>
        <v>3.26</v>
      </c>
      <c r="AJ98" s="2" t="s">
        <v>350</v>
      </c>
      <c r="AK98" s="1">
        <f t="shared" si="18"/>
        <v>3.63</v>
      </c>
      <c r="AL98" s="2" t="s">
        <v>118</v>
      </c>
      <c r="AM98" s="1">
        <f t="shared" si="19"/>
        <v>0.66</v>
      </c>
      <c r="AN98" s="1">
        <v>5.0</v>
      </c>
    </row>
    <row r="99">
      <c r="A99" s="1" t="s">
        <v>629</v>
      </c>
      <c r="B99" s="1" t="s">
        <v>33</v>
      </c>
      <c r="C99" s="2" t="s">
        <v>630</v>
      </c>
      <c r="D99" s="1">
        <f t="shared" si="1"/>
        <v>4.65</v>
      </c>
      <c r="E99" s="2" t="s">
        <v>376</v>
      </c>
      <c r="F99" s="1">
        <f t="shared" si="2"/>
        <v>0.76</v>
      </c>
      <c r="G99" s="1" t="str">
        <f t="shared" si="3"/>
        <v>High</v>
      </c>
      <c r="H99" s="2" t="s">
        <v>631</v>
      </c>
      <c r="I99" s="1">
        <f t="shared" si="4"/>
        <v>9143.86</v>
      </c>
      <c r="J99" s="2" t="s">
        <v>254</v>
      </c>
      <c r="K99" s="1">
        <f t="shared" si="5"/>
        <v>0.67</v>
      </c>
      <c r="L99" s="2" t="s">
        <v>38</v>
      </c>
      <c r="M99" s="1">
        <f t="shared" si="6"/>
        <v>0.3</v>
      </c>
      <c r="N99" s="2" t="s">
        <v>63</v>
      </c>
      <c r="O99" s="1">
        <f t="shared" si="7"/>
        <v>0.25</v>
      </c>
      <c r="P99" s="2" t="s">
        <v>136</v>
      </c>
      <c r="Q99" s="1">
        <f t="shared" si="8"/>
        <v>2.52</v>
      </c>
      <c r="R99" s="2" t="s">
        <v>181</v>
      </c>
      <c r="S99" s="1">
        <f t="shared" si="9"/>
        <v>0.05</v>
      </c>
      <c r="T99" s="2" t="s">
        <v>632</v>
      </c>
      <c r="U99" s="1">
        <f t="shared" si="10"/>
        <v>3.84</v>
      </c>
      <c r="V99" s="2" t="s">
        <v>78</v>
      </c>
      <c r="W99" s="1">
        <f t="shared" si="11"/>
        <v>0.16</v>
      </c>
      <c r="X99" s="2" t="s">
        <v>49</v>
      </c>
      <c r="Y99" s="1">
        <f t="shared" si="12"/>
        <v>0.04</v>
      </c>
      <c r="Z99" s="2" t="s">
        <v>69</v>
      </c>
      <c r="AA99" s="1">
        <f t="shared" si="13"/>
        <v>0.06</v>
      </c>
      <c r="AB99" s="2" t="s">
        <v>80</v>
      </c>
      <c r="AC99" s="1">
        <f t="shared" si="14"/>
        <v>0.01</v>
      </c>
      <c r="AD99" s="2" t="s">
        <v>69</v>
      </c>
      <c r="AE99" s="1">
        <f t="shared" si="15"/>
        <v>0.06</v>
      </c>
      <c r="AF99" s="2" t="s">
        <v>90</v>
      </c>
      <c r="AG99" s="1">
        <f t="shared" si="16"/>
        <v>0.33</v>
      </c>
      <c r="AH99" s="2" t="s">
        <v>633</v>
      </c>
      <c r="AI99" s="1">
        <f t="shared" si="17"/>
        <v>-3.51</v>
      </c>
      <c r="AJ99" s="5">
        <v>46075.0</v>
      </c>
      <c r="AK99" s="1">
        <f t="shared" si="18"/>
        <v>2.22</v>
      </c>
      <c r="AL99" s="5">
        <v>46333.0</v>
      </c>
      <c r="AM99" s="1">
        <f t="shared" si="19"/>
        <v>11.7</v>
      </c>
      <c r="AN99" s="1">
        <v>6.0</v>
      </c>
    </row>
    <row r="100">
      <c r="A100" s="1" t="s">
        <v>634</v>
      </c>
      <c r="B100" s="1" t="s">
        <v>73</v>
      </c>
      <c r="C100" s="6">
        <v>46058.0</v>
      </c>
      <c r="D100" s="1">
        <f t="shared" si="1"/>
        <v>2.05</v>
      </c>
      <c r="E100" s="2" t="s">
        <v>224</v>
      </c>
      <c r="F100" s="1">
        <f t="shared" si="2"/>
        <v>0.48</v>
      </c>
      <c r="G100" s="1" t="str">
        <f t="shared" si="3"/>
        <v>Low</v>
      </c>
      <c r="H100" s="2" t="s">
        <v>635</v>
      </c>
      <c r="I100" s="1">
        <f t="shared" si="4"/>
        <v>1338.42</v>
      </c>
      <c r="J100" s="2" t="s">
        <v>62</v>
      </c>
      <c r="K100" s="1">
        <f t="shared" si="5"/>
        <v>0.22</v>
      </c>
      <c r="L100" s="2" t="s">
        <v>231</v>
      </c>
      <c r="M100" s="1">
        <f t="shared" si="6"/>
        <v>0.49</v>
      </c>
      <c r="N100" s="2" t="s">
        <v>201</v>
      </c>
      <c r="O100" s="1">
        <f t="shared" si="7"/>
        <v>0.42</v>
      </c>
      <c r="P100" s="2" t="s">
        <v>233</v>
      </c>
      <c r="Q100" s="1">
        <f t="shared" si="8"/>
        <v>0.51</v>
      </c>
      <c r="R100" s="2">
        <v>0.0</v>
      </c>
      <c r="S100" s="1">
        <f t="shared" si="9"/>
        <v>0</v>
      </c>
      <c r="T100" s="2" t="s">
        <v>468</v>
      </c>
      <c r="U100" s="1">
        <f t="shared" si="10"/>
        <v>1.66</v>
      </c>
      <c r="V100" s="2" t="s">
        <v>49</v>
      </c>
      <c r="W100" s="1">
        <f t="shared" si="11"/>
        <v>0.04</v>
      </c>
      <c r="X100" s="2" t="s">
        <v>128</v>
      </c>
      <c r="Y100" s="1">
        <f t="shared" si="12"/>
        <v>0.74</v>
      </c>
      <c r="Z100" s="2">
        <v>0.0</v>
      </c>
      <c r="AA100" s="1">
        <f t="shared" si="13"/>
        <v>0</v>
      </c>
      <c r="AB100" s="2">
        <v>0.0</v>
      </c>
      <c r="AC100" s="1">
        <f t="shared" si="14"/>
        <v>0</v>
      </c>
      <c r="AD100" s="2" t="s">
        <v>80</v>
      </c>
      <c r="AE100" s="1">
        <f t="shared" si="15"/>
        <v>0.01</v>
      </c>
      <c r="AF100" s="2" t="s">
        <v>61</v>
      </c>
      <c r="AG100" s="1">
        <f t="shared" si="16"/>
        <v>0.78</v>
      </c>
      <c r="AH100" s="2" t="s">
        <v>636</v>
      </c>
      <c r="AI100" s="1">
        <f t="shared" si="17"/>
        <v>-0.87</v>
      </c>
      <c r="AJ100" s="2" t="s">
        <v>466</v>
      </c>
      <c r="AK100" s="1">
        <f t="shared" si="18"/>
        <v>0.96</v>
      </c>
      <c r="AL100" s="5">
        <v>46064.0</v>
      </c>
      <c r="AM100" s="1">
        <f t="shared" si="19"/>
        <v>2.11</v>
      </c>
      <c r="AN100" s="1" t="s">
        <v>124</v>
      </c>
    </row>
    <row r="101">
      <c r="A101" s="1" t="s">
        <v>637</v>
      </c>
      <c r="B101" s="1" t="s">
        <v>73</v>
      </c>
      <c r="C101" s="5">
        <v>46131.0</v>
      </c>
      <c r="D101" s="1">
        <f t="shared" si="1"/>
        <v>4.19</v>
      </c>
      <c r="E101" s="2" t="s">
        <v>201</v>
      </c>
      <c r="F101" s="1">
        <f t="shared" si="2"/>
        <v>0.42</v>
      </c>
      <c r="G101" s="1" t="str">
        <f t="shared" si="3"/>
        <v>Low</v>
      </c>
      <c r="H101" s="2" t="s">
        <v>638</v>
      </c>
      <c r="I101" s="1">
        <f t="shared" si="4"/>
        <v>397.38</v>
      </c>
      <c r="J101" s="2" t="s">
        <v>365</v>
      </c>
      <c r="K101" s="1">
        <f t="shared" si="5"/>
        <v>0.23</v>
      </c>
      <c r="L101" s="2" t="s">
        <v>82</v>
      </c>
      <c r="M101" s="1">
        <f t="shared" si="6"/>
        <v>0.03</v>
      </c>
      <c r="N101" s="2" t="s">
        <v>167</v>
      </c>
      <c r="O101" s="1">
        <f t="shared" si="7"/>
        <v>0.75</v>
      </c>
      <c r="P101" s="2" t="s">
        <v>154</v>
      </c>
      <c r="Q101" s="1">
        <f t="shared" si="8"/>
        <v>0.14</v>
      </c>
      <c r="R101" s="2" t="s">
        <v>82</v>
      </c>
      <c r="S101" s="1">
        <f t="shared" si="9"/>
        <v>0.03</v>
      </c>
      <c r="T101" s="5">
        <v>46043.0</v>
      </c>
      <c r="U101" s="1">
        <f t="shared" si="10"/>
        <v>1.21</v>
      </c>
      <c r="V101" s="2" t="s">
        <v>91</v>
      </c>
      <c r="W101" s="1">
        <f t="shared" si="11"/>
        <v>0.15</v>
      </c>
      <c r="X101" s="2" t="s">
        <v>348</v>
      </c>
      <c r="Y101" s="1">
        <f t="shared" si="12"/>
        <v>0.61</v>
      </c>
      <c r="Z101" s="2" t="s">
        <v>639</v>
      </c>
      <c r="AA101" s="1">
        <f t="shared" si="13"/>
        <v>1.45</v>
      </c>
      <c r="AB101" s="2" t="s">
        <v>310</v>
      </c>
      <c r="AC101" s="1">
        <f t="shared" si="14"/>
        <v>0.32</v>
      </c>
      <c r="AD101" s="2" t="s">
        <v>82</v>
      </c>
      <c r="AE101" s="1">
        <f t="shared" si="15"/>
        <v>0.03</v>
      </c>
      <c r="AF101" s="2" t="s">
        <v>216</v>
      </c>
      <c r="AG101" s="1">
        <f t="shared" si="16"/>
        <v>2.57</v>
      </c>
      <c r="AH101" s="2" t="s">
        <v>475</v>
      </c>
      <c r="AI101" s="1">
        <f t="shared" si="17"/>
        <v>1.35</v>
      </c>
      <c r="AJ101" s="2" t="s">
        <v>305</v>
      </c>
      <c r="AK101" s="1">
        <f t="shared" si="18"/>
        <v>0.7</v>
      </c>
      <c r="AL101" s="2" t="s">
        <v>300</v>
      </c>
      <c r="AM101" s="1">
        <f t="shared" si="19"/>
        <v>0.47</v>
      </c>
      <c r="AN101" s="1" t="s">
        <v>124</v>
      </c>
    </row>
    <row r="102">
      <c r="A102" s="1" t="s">
        <v>640</v>
      </c>
      <c r="B102" s="1" t="s">
        <v>73</v>
      </c>
      <c r="C102" s="5">
        <v>46189.0</v>
      </c>
      <c r="D102" s="1">
        <f t="shared" si="1"/>
        <v>6.16</v>
      </c>
      <c r="E102" s="2" t="s">
        <v>128</v>
      </c>
      <c r="F102" s="1">
        <f t="shared" si="2"/>
        <v>0.74</v>
      </c>
      <c r="G102" s="1" t="str">
        <f t="shared" si="3"/>
        <v>High</v>
      </c>
      <c r="H102" s="2" t="s">
        <v>641</v>
      </c>
      <c r="I102" s="1">
        <f t="shared" si="4"/>
        <v>5859.43</v>
      </c>
      <c r="J102" s="2" t="s">
        <v>44</v>
      </c>
      <c r="K102" s="1">
        <f t="shared" si="5"/>
        <v>0.79</v>
      </c>
      <c r="L102" s="2" t="s">
        <v>310</v>
      </c>
      <c r="M102" s="1">
        <f t="shared" si="6"/>
        <v>0.32</v>
      </c>
      <c r="N102" s="2" t="s">
        <v>154</v>
      </c>
      <c r="O102" s="1">
        <f t="shared" si="7"/>
        <v>0.14</v>
      </c>
      <c r="P102" s="2" t="s">
        <v>499</v>
      </c>
      <c r="Q102" s="1">
        <f t="shared" si="8"/>
        <v>2.33</v>
      </c>
      <c r="R102" s="2" t="s">
        <v>114</v>
      </c>
      <c r="S102" s="1">
        <f t="shared" si="9"/>
        <v>0.1</v>
      </c>
      <c r="T102" s="2" t="s">
        <v>591</v>
      </c>
      <c r="U102" s="1">
        <f t="shared" si="10"/>
        <v>3.69</v>
      </c>
      <c r="V102" s="2" t="s">
        <v>79</v>
      </c>
      <c r="W102" s="1">
        <f t="shared" si="11"/>
        <v>0.17</v>
      </c>
      <c r="X102" s="2" t="s">
        <v>365</v>
      </c>
      <c r="Y102" s="1">
        <f t="shared" si="12"/>
        <v>0.23</v>
      </c>
      <c r="Z102" s="2" t="s">
        <v>48</v>
      </c>
      <c r="AA102" s="1">
        <f t="shared" si="13"/>
        <v>0.02</v>
      </c>
      <c r="AB102" s="2" t="s">
        <v>63</v>
      </c>
      <c r="AC102" s="1">
        <f t="shared" si="14"/>
        <v>0.25</v>
      </c>
      <c r="AD102" s="2" t="s">
        <v>48</v>
      </c>
      <c r="AE102" s="1">
        <f t="shared" si="15"/>
        <v>0.02</v>
      </c>
      <c r="AF102" s="2" t="s">
        <v>305</v>
      </c>
      <c r="AG102" s="1">
        <f t="shared" si="16"/>
        <v>0.7</v>
      </c>
      <c r="AH102" s="2">
        <v>-3.0</v>
      </c>
      <c r="AI102" s="1">
        <f t="shared" si="17"/>
        <v>-3</v>
      </c>
      <c r="AJ102" s="5">
        <v>46066.0</v>
      </c>
      <c r="AK102" s="1">
        <f t="shared" si="18"/>
        <v>2.13</v>
      </c>
      <c r="AL102" s="5">
        <v>46145.0</v>
      </c>
      <c r="AM102" s="1">
        <f t="shared" si="19"/>
        <v>5.3</v>
      </c>
      <c r="AN102" s="1" t="s">
        <v>124</v>
      </c>
    </row>
    <row r="103">
      <c r="A103" s="1" t="s">
        <v>642</v>
      </c>
      <c r="B103" s="1" t="s">
        <v>143</v>
      </c>
      <c r="C103" s="6">
        <v>46084.0</v>
      </c>
      <c r="D103" s="1">
        <f t="shared" si="1"/>
        <v>3.03</v>
      </c>
      <c r="E103" s="2" t="s">
        <v>111</v>
      </c>
      <c r="F103" s="1">
        <f t="shared" si="2"/>
        <v>0.83</v>
      </c>
      <c r="G103" s="1" t="str">
        <f t="shared" si="3"/>
        <v>Very High</v>
      </c>
      <c r="H103" s="2" t="s">
        <v>643</v>
      </c>
      <c r="I103" s="1">
        <f t="shared" si="4"/>
        <v>14373.7</v>
      </c>
      <c r="J103" s="2" t="s">
        <v>519</v>
      </c>
      <c r="K103" s="1">
        <f t="shared" si="5"/>
        <v>1.89</v>
      </c>
      <c r="L103" s="2" t="s">
        <v>66</v>
      </c>
      <c r="M103" s="1">
        <f t="shared" si="6"/>
        <v>0.21</v>
      </c>
      <c r="N103" s="5">
        <v>46050.0</v>
      </c>
      <c r="O103" s="1">
        <f t="shared" si="7"/>
        <v>1.28</v>
      </c>
      <c r="P103" s="5">
        <v>46068.0</v>
      </c>
      <c r="Q103" s="1">
        <f t="shared" si="8"/>
        <v>2.15</v>
      </c>
      <c r="R103" s="2" t="s">
        <v>78</v>
      </c>
      <c r="S103" s="1">
        <f t="shared" si="9"/>
        <v>0.16</v>
      </c>
      <c r="T103" s="2" t="s">
        <v>644</v>
      </c>
      <c r="U103" s="1">
        <f t="shared" si="10"/>
        <v>5.83</v>
      </c>
      <c r="V103" s="6">
        <v>46084.0</v>
      </c>
      <c r="W103" s="1">
        <f t="shared" si="11"/>
        <v>3.03</v>
      </c>
      <c r="X103" s="2" t="s">
        <v>149</v>
      </c>
      <c r="Y103" s="1">
        <f t="shared" si="12"/>
        <v>0.11</v>
      </c>
      <c r="Z103" s="6">
        <v>46062.0</v>
      </c>
      <c r="AA103" s="1">
        <f t="shared" si="13"/>
        <v>2.09</v>
      </c>
      <c r="AB103" s="2" t="s">
        <v>38</v>
      </c>
      <c r="AC103" s="1">
        <f t="shared" si="14"/>
        <v>0.3</v>
      </c>
      <c r="AD103" s="2" t="s">
        <v>91</v>
      </c>
      <c r="AE103" s="1">
        <f t="shared" si="15"/>
        <v>0.15</v>
      </c>
      <c r="AF103" s="2" t="s">
        <v>645</v>
      </c>
      <c r="AG103" s="1">
        <f t="shared" si="16"/>
        <v>5.67</v>
      </c>
      <c r="AH103" s="2" t="s">
        <v>646</v>
      </c>
      <c r="AI103" s="1">
        <f t="shared" si="17"/>
        <v>-0.17</v>
      </c>
      <c r="AJ103" s="2" t="s">
        <v>433</v>
      </c>
      <c r="AK103" s="1">
        <f t="shared" si="18"/>
        <v>3.37</v>
      </c>
      <c r="AL103" s="6">
        <v>46025.0</v>
      </c>
      <c r="AM103" s="1">
        <f t="shared" si="19"/>
        <v>1.03</v>
      </c>
      <c r="AN103" s="1">
        <v>5.0</v>
      </c>
    </row>
    <row r="104">
      <c r="A104" s="1" t="s">
        <v>647</v>
      </c>
      <c r="B104" s="1" t="s">
        <v>143</v>
      </c>
      <c r="C104" s="2" t="s">
        <v>88</v>
      </c>
      <c r="D104" s="1">
        <f t="shared" si="1"/>
        <v>0.52</v>
      </c>
      <c r="E104" s="2" t="s">
        <v>131</v>
      </c>
      <c r="F104" s="1">
        <f t="shared" si="2"/>
        <v>0.89</v>
      </c>
      <c r="G104" s="1" t="str">
        <f t="shared" si="3"/>
        <v>Very High</v>
      </c>
      <c r="H104" s="2" t="s">
        <v>648</v>
      </c>
      <c r="I104" s="1">
        <f t="shared" si="4"/>
        <v>114665</v>
      </c>
      <c r="J104" s="5">
        <v>46023.0</v>
      </c>
      <c r="K104" s="1">
        <f t="shared" si="5"/>
        <v>1.1</v>
      </c>
      <c r="L104" s="2" t="s">
        <v>376</v>
      </c>
      <c r="M104" s="1">
        <f t="shared" si="6"/>
        <v>0.76</v>
      </c>
      <c r="N104" s="6">
        <v>46025.0</v>
      </c>
      <c r="O104" s="1">
        <f t="shared" si="7"/>
        <v>1.03</v>
      </c>
      <c r="P104" s="2" t="s">
        <v>649</v>
      </c>
      <c r="Q104" s="1">
        <f t="shared" si="8"/>
        <v>12.65</v>
      </c>
      <c r="R104" s="2" t="s">
        <v>240</v>
      </c>
      <c r="S104" s="1">
        <f t="shared" si="9"/>
        <v>0.13</v>
      </c>
      <c r="T104" s="2" t="s">
        <v>650</v>
      </c>
      <c r="U104" s="1">
        <f t="shared" si="10"/>
        <v>15.82</v>
      </c>
      <c r="V104" s="2" t="s">
        <v>138</v>
      </c>
      <c r="W104" s="1">
        <f t="shared" si="11"/>
        <v>0.57</v>
      </c>
      <c r="X104" s="2" t="s">
        <v>41</v>
      </c>
      <c r="Y104" s="1">
        <f t="shared" si="12"/>
        <v>0.08</v>
      </c>
      <c r="Z104" s="2" t="s">
        <v>131</v>
      </c>
      <c r="AA104" s="1">
        <f t="shared" si="13"/>
        <v>0.89</v>
      </c>
      <c r="AB104" s="2">
        <v>0.0</v>
      </c>
      <c r="AC104" s="1">
        <f t="shared" si="14"/>
        <v>0</v>
      </c>
      <c r="AD104" s="2" t="s">
        <v>154</v>
      </c>
      <c r="AE104" s="1">
        <f t="shared" si="15"/>
        <v>0.14</v>
      </c>
      <c r="AF104" s="2" t="s">
        <v>539</v>
      </c>
      <c r="AG104" s="1">
        <f t="shared" si="16"/>
        <v>1.68</v>
      </c>
      <c r="AH104" s="2" t="s">
        <v>651</v>
      </c>
      <c r="AI104" s="1">
        <f t="shared" si="17"/>
        <v>-14.14</v>
      </c>
      <c r="AJ104" s="5">
        <v>46279.0</v>
      </c>
      <c r="AK104" s="1">
        <f t="shared" si="18"/>
        <v>9.14</v>
      </c>
      <c r="AL104" s="2" t="s">
        <v>652</v>
      </c>
      <c r="AM104" s="1">
        <f t="shared" si="19"/>
        <v>9.44</v>
      </c>
      <c r="AN104" s="1">
        <v>5.0</v>
      </c>
    </row>
    <row r="105">
      <c r="A105" s="1" t="s">
        <v>653</v>
      </c>
      <c r="B105" s="1" t="s">
        <v>58</v>
      </c>
      <c r="C105" s="5">
        <v>46064.0</v>
      </c>
      <c r="D105" s="1">
        <f t="shared" si="1"/>
        <v>2.11</v>
      </c>
      <c r="E105" s="2" t="s">
        <v>128</v>
      </c>
      <c r="F105" s="1">
        <f t="shared" si="2"/>
        <v>0.74</v>
      </c>
      <c r="G105" s="1" t="str">
        <f t="shared" si="3"/>
        <v>High</v>
      </c>
      <c r="H105" s="2" t="s">
        <v>654</v>
      </c>
      <c r="I105" s="1">
        <f t="shared" si="4"/>
        <v>5174.89</v>
      </c>
      <c r="J105" s="2" t="s">
        <v>275</v>
      </c>
      <c r="K105" s="1">
        <f t="shared" si="5"/>
        <v>0.62</v>
      </c>
      <c r="L105" s="2" t="s">
        <v>66</v>
      </c>
      <c r="M105" s="1">
        <f t="shared" si="6"/>
        <v>0.21</v>
      </c>
      <c r="N105" s="2" t="s">
        <v>285</v>
      </c>
      <c r="O105" s="1">
        <f t="shared" si="7"/>
        <v>0.31</v>
      </c>
      <c r="P105" s="6">
        <v>46059.0</v>
      </c>
      <c r="Q105" s="1">
        <f t="shared" si="8"/>
        <v>2.06</v>
      </c>
      <c r="R105" s="2" t="s">
        <v>82</v>
      </c>
      <c r="S105" s="1">
        <f t="shared" si="9"/>
        <v>0.03</v>
      </c>
      <c r="T105" s="5">
        <v>46107.0</v>
      </c>
      <c r="U105" s="1">
        <f t="shared" si="10"/>
        <v>3.26</v>
      </c>
      <c r="V105" s="2" t="s">
        <v>199</v>
      </c>
      <c r="W105" s="1">
        <f t="shared" si="11"/>
        <v>0.38</v>
      </c>
      <c r="X105" s="2" t="s">
        <v>79</v>
      </c>
      <c r="Y105" s="1">
        <f t="shared" si="12"/>
        <v>0.17</v>
      </c>
      <c r="Z105" s="2" t="s">
        <v>249</v>
      </c>
      <c r="AA105" s="1">
        <f t="shared" si="13"/>
        <v>0.92</v>
      </c>
      <c r="AB105" s="2" t="s">
        <v>48</v>
      </c>
      <c r="AC105" s="1">
        <f t="shared" si="14"/>
        <v>0.02</v>
      </c>
      <c r="AD105" s="2" t="s">
        <v>48</v>
      </c>
      <c r="AE105" s="1">
        <f t="shared" si="15"/>
        <v>0.02</v>
      </c>
      <c r="AF105" s="2" t="s">
        <v>528</v>
      </c>
      <c r="AG105" s="1">
        <f t="shared" si="16"/>
        <v>1.51</v>
      </c>
      <c r="AH105" s="2" t="s">
        <v>655</v>
      </c>
      <c r="AI105" s="1">
        <f t="shared" si="17"/>
        <v>-1.75</v>
      </c>
      <c r="AJ105" s="2" t="s">
        <v>564</v>
      </c>
      <c r="AK105" s="1">
        <f t="shared" si="18"/>
        <v>1.88</v>
      </c>
      <c r="AL105" s="5">
        <v>46069.0</v>
      </c>
      <c r="AM105" s="1">
        <f t="shared" si="19"/>
        <v>2.16</v>
      </c>
      <c r="AN105" s="1">
        <v>6.0</v>
      </c>
    </row>
    <row r="106">
      <c r="A106" s="1" t="s">
        <v>656</v>
      </c>
      <c r="B106" s="1" t="s">
        <v>73</v>
      </c>
      <c r="C106" s="2" t="s">
        <v>657</v>
      </c>
      <c r="D106" s="1">
        <f t="shared" si="1"/>
        <v>22.29</v>
      </c>
      <c r="E106" s="2" t="s">
        <v>233</v>
      </c>
      <c r="F106" s="1">
        <f t="shared" si="2"/>
        <v>0.51</v>
      </c>
      <c r="G106" s="1" t="str">
        <f t="shared" si="3"/>
        <v>Low</v>
      </c>
      <c r="H106" s="2" t="s">
        <v>658</v>
      </c>
      <c r="I106" s="1">
        <f t="shared" si="4"/>
        <v>456.33</v>
      </c>
      <c r="J106" s="2" t="s">
        <v>81</v>
      </c>
      <c r="K106" s="1">
        <f t="shared" si="5"/>
        <v>0.27</v>
      </c>
      <c r="L106" s="2" t="s">
        <v>130</v>
      </c>
      <c r="M106" s="1">
        <f t="shared" si="6"/>
        <v>0.34</v>
      </c>
      <c r="N106" s="2" t="s">
        <v>45</v>
      </c>
      <c r="O106" s="1">
        <f t="shared" si="7"/>
        <v>0.24</v>
      </c>
      <c r="P106" s="2" t="s">
        <v>68</v>
      </c>
      <c r="Q106" s="1">
        <f t="shared" si="8"/>
        <v>0.07</v>
      </c>
      <c r="R106" s="2" t="s">
        <v>48</v>
      </c>
      <c r="S106" s="1">
        <f t="shared" si="9"/>
        <v>0.02</v>
      </c>
      <c r="T106" s="2" t="s">
        <v>225</v>
      </c>
      <c r="U106" s="1">
        <f t="shared" si="10"/>
        <v>0.99</v>
      </c>
      <c r="V106" s="2" t="s">
        <v>97</v>
      </c>
      <c r="W106" s="1">
        <f t="shared" si="11"/>
        <v>0.26</v>
      </c>
      <c r="X106" s="5">
        <v>46025.0</v>
      </c>
      <c r="Y106" s="1">
        <f t="shared" si="12"/>
        <v>1.3</v>
      </c>
      <c r="Z106" s="2" t="s">
        <v>213</v>
      </c>
      <c r="AA106" s="1">
        <f t="shared" si="13"/>
        <v>0.8</v>
      </c>
      <c r="AB106" s="2" t="s">
        <v>66</v>
      </c>
      <c r="AC106" s="1">
        <f t="shared" si="14"/>
        <v>0.21</v>
      </c>
      <c r="AD106" s="2" t="s">
        <v>69</v>
      </c>
      <c r="AE106" s="1">
        <f t="shared" si="15"/>
        <v>0.06</v>
      </c>
      <c r="AF106" s="2" t="s">
        <v>659</v>
      </c>
      <c r="AG106" s="1">
        <f t="shared" si="16"/>
        <v>2.63</v>
      </c>
      <c r="AH106" s="2" t="s">
        <v>383</v>
      </c>
      <c r="AI106" s="1">
        <f t="shared" si="17"/>
        <v>1.64</v>
      </c>
      <c r="AJ106" s="2" t="s">
        <v>138</v>
      </c>
      <c r="AK106" s="1">
        <f t="shared" si="18"/>
        <v>0.57</v>
      </c>
      <c r="AL106" s="2" t="s">
        <v>199</v>
      </c>
      <c r="AM106" s="1">
        <f t="shared" si="19"/>
        <v>0.38</v>
      </c>
      <c r="AN106" s="1">
        <v>6.0</v>
      </c>
    </row>
    <row r="107">
      <c r="A107" s="1" t="s">
        <v>660</v>
      </c>
      <c r="B107" s="1" t="s">
        <v>73</v>
      </c>
      <c r="C107" s="2" t="s">
        <v>661</v>
      </c>
      <c r="D107" s="1">
        <f t="shared" si="1"/>
        <v>15.91</v>
      </c>
      <c r="E107" s="2" t="s">
        <v>248</v>
      </c>
      <c r="F107" s="1">
        <f t="shared" si="2"/>
        <v>0.43</v>
      </c>
      <c r="G107" s="1" t="str">
        <f t="shared" si="3"/>
        <v>Low</v>
      </c>
      <c r="H107" s="2" t="s">
        <v>662</v>
      </c>
      <c r="I107" s="1">
        <f t="shared" si="4"/>
        <v>493.84</v>
      </c>
      <c r="J107" s="2" t="s">
        <v>248</v>
      </c>
      <c r="K107" s="1">
        <f t="shared" si="5"/>
        <v>0.43</v>
      </c>
      <c r="L107" s="2" t="s">
        <v>181</v>
      </c>
      <c r="M107" s="1">
        <f t="shared" si="6"/>
        <v>0.05</v>
      </c>
      <c r="N107" s="2" t="s">
        <v>40</v>
      </c>
      <c r="O107" s="1">
        <f t="shared" si="7"/>
        <v>0.2</v>
      </c>
      <c r="P107" s="2" t="s">
        <v>68</v>
      </c>
      <c r="Q107" s="1">
        <f t="shared" si="8"/>
        <v>0.07</v>
      </c>
      <c r="R107" s="2" t="s">
        <v>80</v>
      </c>
      <c r="S107" s="1">
        <f t="shared" si="9"/>
        <v>0.01</v>
      </c>
      <c r="T107" s="2" t="s">
        <v>236</v>
      </c>
      <c r="U107" s="1">
        <f t="shared" si="10"/>
        <v>0.81</v>
      </c>
      <c r="V107" s="2" t="s">
        <v>123</v>
      </c>
      <c r="W107" s="1">
        <f t="shared" si="11"/>
        <v>0.45</v>
      </c>
      <c r="X107" s="2" t="s">
        <v>68</v>
      </c>
      <c r="Y107" s="1">
        <f t="shared" si="12"/>
        <v>0.07</v>
      </c>
      <c r="Z107" s="2" t="s">
        <v>48</v>
      </c>
      <c r="AA107" s="1">
        <f t="shared" si="13"/>
        <v>0.02</v>
      </c>
      <c r="AB107" s="2" t="s">
        <v>69</v>
      </c>
      <c r="AC107" s="1">
        <f t="shared" si="14"/>
        <v>0.06</v>
      </c>
      <c r="AD107" s="2" t="s">
        <v>181</v>
      </c>
      <c r="AE107" s="1">
        <f t="shared" si="15"/>
        <v>0.05</v>
      </c>
      <c r="AF107" s="2" t="s">
        <v>118</v>
      </c>
      <c r="AG107" s="1">
        <f t="shared" si="16"/>
        <v>0.66</v>
      </c>
      <c r="AH107" s="2" t="s">
        <v>663</v>
      </c>
      <c r="AI107" s="1">
        <f t="shared" si="17"/>
        <v>-0.15</v>
      </c>
      <c r="AJ107" s="2" t="s">
        <v>300</v>
      </c>
      <c r="AK107" s="1">
        <f t="shared" si="18"/>
        <v>0.47</v>
      </c>
      <c r="AL107" s="5">
        <v>46044.0</v>
      </c>
      <c r="AM107" s="1">
        <f t="shared" si="19"/>
        <v>1.22</v>
      </c>
      <c r="AN107" s="1">
        <v>5.0</v>
      </c>
    </row>
    <row r="108">
      <c r="A108" s="1" t="s">
        <v>664</v>
      </c>
      <c r="B108" s="1" t="s">
        <v>134</v>
      </c>
      <c r="C108" s="2" t="s">
        <v>665</v>
      </c>
      <c r="D108" s="1">
        <f t="shared" si="1"/>
        <v>29.24</v>
      </c>
      <c r="E108" s="2" t="s">
        <v>394</v>
      </c>
      <c r="F108" s="1">
        <f t="shared" si="2"/>
        <v>0.77</v>
      </c>
      <c r="G108" s="1" t="str">
        <f t="shared" si="3"/>
        <v>High</v>
      </c>
      <c r="H108" s="2" t="s">
        <v>666</v>
      </c>
      <c r="I108" s="1">
        <f t="shared" si="4"/>
        <v>10252.6</v>
      </c>
      <c r="J108" s="2" t="s">
        <v>254</v>
      </c>
      <c r="K108" s="1">
        <f t="shared" si="5"/>
        <v>0.67</v>
      </c>
      <c r="L108" s="2" t="s">
        <v>92</v>
      </c>
      <c r="M108" s="1">
        <f t="shared" si="6"/>
        <v>0.12</v>
      </c>
      <c r="N108" s="2" t="s">
        <v>199</v>
      </c>
      <c r="O108" s="1">
        <f t="shared" si="7"/>
        <v>0.38</v>
      </c>
      <c r="P108" s="5">
        <v>46054.0</v>
      </c>
      <c r="Q108" s="1">
        <f t="shared" si="8"/>
        <v>2.1</v>
      </c>
      <c r="R108" s="2" t="s">
        <v>302</v>
      </c>
      <c r="S108" s="1">
        <f t="shared" si="9"/>
        <v>0.36</v>
      </c>
      <c r="T108" s="2" t="s">
        <v>667</v>
      </c>
      <c r="U108" s="1">
        <f t="shared" si="10"/>
        <v>3.71</v>
      </c>
      <c r="V108" s="2" t="s">
        <v>167</v>
      </c>
      <c r="W108" s="1">
        <f t="shared" si="11"/>
        <v>0.75</v>
      </c>
      <c r="X108" s="2" t="s">
        <v>80</v>
      </c>
      <c r="Y108" s="1">
        <f t="shared" si="12"/>
        <v>0.01</v>
      </c>
      <c r="Z108" s="2" t="s">
        <v>59</v>
      </c>
      <c r="AA108" s="1">
        <f t="shared" si="13"/>
        <v>0.73</v>
      </c>
      <c r="AB108" s="2" t="s">
        <v>344</v>
      </c>
      <c r="AC108" s="1">
        <f t="shared" si="14"/>
        <v>0.84</v>
      </c>
      <c r="AD108" s="2" t="s">
        <v>68</v>
      </c>
      <c r="AE108" s="1">
        <f t="shared" si="15"/>
        <v>0.07</v>
      </c>
      <c r="AF108" s="2" t="s">
        <v>668</v>
      </c>
      <c r="AG108" s="1">
        <f t="shared" si="16"/>
        <v>2.41</v>
      </c>
      <c r="AH108" s="2" t="s">
        <v>669</v>
      </c>
      <c r="AI108" s="1">
        <f t="shared" si="17"/>
        <v>-1.3</v>
      </c>
      <c r="AJ108" s="5">
        <v>46067.0</v>
      </c>
      <c r="AK108" s="1">
        <f t="shared" si="18"/>
        <v>2.14</v>
      </c>
      <c r="AL108" s="2" t="s">
        <v>670</v>
      </c>
      <c r="AM108" s="1">
        <f t="shared" si="19"/>
        <v>1.54</v>
      </c>
      <c r="AN108" s="1" t="s">
        <v>124</v>
      </c>
    </row>
    <row r="109">
      <c r="A109" s="1" t="s">
        <v>671</v>
      </c>
      <c r="B109" s="1" t="s">
        <v>73</v>
      </c>
      <c r="C109" s="2" t="s">
        <v>672</v>
      </c>
      <c r="D109" s="1">
        <f t="shared" si="1"/>
        <v>14.85</v>
      </c>
      <c r="E109" s="2" t="s">
        <v>283</v>
      </c>
      <c r="F109" s="1">
        <f t="shared" si="2"/>
        <v>0.41</v>
      </c>
      <c r="G109" s="1" t="str">
        <f t="shared" si="3"/>
        <v>Low</v>
      </c>
      <c r="H109" s="2" t="s">
        <v>673</v>
      </c>
      <c r="I109" s="1">
        <f t="shared" si="4"/>
        <v>741.22</v>
      </c>
      <c r="J109" s="2" t="s">
        <v>88</v>
      </c>
      <c r="K109" s="1">
        <f t="shared" si="5"/>
        <v>0.52</v>
      </c>
      <c r="L109" s="2" t="s">
        <v>118</v>
      </c>
      <c r="M109" s="1">
        <f t="shared" si="6"/>
        <v>0.66</v>
      </c>
      <c r="N109" s="2" t="s">
        <v>79</v>
      </c>
      <c r="O109" s="1">
        <f t="shared" si="7"/>
        <v>0.17</v>
      </c>
      <c r="P109" s="2" t="s">
        <v>114</v>
      </c>
      <c r="Q109" s="1">
        <f t="shared" si="8"/>
        <v>0.1</v>
      </c>
      <c r="R109" s="2" t="s">
        <v>82</v>
      </c>
      <c r="S109" s="1">
        <f t="shared" si="9"/>
        <v>0.03</v>
      </c>
      <c r="T109" s="2" t="s">
        <v>381</v>
      </c>
      <c r="U109" s="1">
        <f t="shared" si="10"/>
        <v>1.53</v>
      </c>
      <c r="V109" s="2" t="s">
        <v>233</v>
      </c>
      <c r="W109" s="1">
        <f t="shared" si="11"/>
        <v>0.51</v>
      </c>
      <c r="X109" s="2" t="s">
        <v>163</v>
      </c>
      <c r="Y109" s="1">
        <f t="shared" si="12"/>
        <v>0.71</v>
      </c>
      <c r="Z109" s="2" t="s">
        <v>63</v>
      </c>
      <c r="AA109" s="1">
        <f t="shared" si="13"/>
        <v>0.25</v>
      </c>
      <c r="AB109" s="2" t="s">
        <v>181</v>
      </c>
      <c r="AC109" s="1">
        <f t="shared" si="14"/>
        <v>0.05</v>
      </c>
      <c r="AD109" s="2" t="s">
        <v>69</v>
      </c>
      <c r="AE109" s="1">
        <f t="shared" si="15"/>
        <v>0.06</v>
      </c>
      <c r="AF109" s="2" t="s">
        <v>470</v>
      </c>
      <c r="AG109" s="1">
        <f t="shared" si="16"/>
        <v>1.58</v>
      </c>
      <c r="AH109" s="2" t="s">
        <v>181</v>
      </c>
      <c r="AI109" s="1">
        <f t="shared" si="17"/>
        <v>0.05</v>
      </c>
      <c r="AJ109" s="2" t="s">
        <v>159</v>
      </c>
      <c r="AK109" s="1">
        <f t="shared" si="18"/>
        <v>0.88</v>
      </c>
      <c r="AL109" s="2" t="s">
        <v>177</v>
      </c>
      <c r="AM109" s="1">
        <f t="shared" si="19"/>
        <v>0.97</v>
      </c>
      <c r="AN109" s="1">
        <v>6.0</v>
      </c>
    </row>
    <row r="110">
      <c r="A110" s="1" t="s">
        <v>674</v>
      </c>
      <c r="B110" s="1" t="s">
        <v>103</v>
      </c>
      <c r="C110" s="2" t="s">
        <v>378</v>
      </c>
      <c r="D110" s="1">
        <f t="shared" si="1"/>
        <v>0.4</v>
      </c>
      <c r="F110" s="1" t="str">
        <f t="shared" si="2"/>
        <v/>
      </c>
      <c r="G110" s="1" t="str">
        <f t="shared" si="3"/>
        <v>Unknown</v>
      </c>
      <c r="I110" s="1" t="str">
        <f t="shared" si="4"/>
        <v/>
      </c>
      <c r="J110" s="2" t="s">
        <v>240</v>
      </c>
      <c r="K110" s="1">
        <f t="shared" si="5"/>
        <v>0.13</v>
      </c>
      <c r="L110" s="2" t="s">
        <v>48</v>
      </c>
      <c r="M110" s="1">
        <f t="shared" si="6"/>
        <v>0.02</v>
      </c>
      <c r="N110" s="2" t="s">
        <v>92</v>
      </c>
      <c r="O110" s="1">
        <f t="shared" si="7"/>
        <v>0.12</v>
      </c>
      <c r="P110" s="2" t="s">
        <v>675</v>
      </c>
      <c r="Q110" s="1">
        <f t="shared" si="8"/>
        <v>1.73</v>
      </c>
      <c r="R110" s="2" t="s">
        <v>49</v>
      </c>
      <c r="S110" s="1">
        <f t="shared" si="9"/>
        <v>0.04</v>
      </c>
      <c r="T110" s="6">
        <v>46061.0</v>
      </c>
      <c r="U110" s="1">
        <f t="shared" si="10"/>
        <v>2.08</v>
      </c>
      <c r="V110" s="2" t="s">
        <v>240</v>
      </c>
      <c r="W110" s="1">
        <f t="shared" si="11"/>
        <v>0.13</v>
      </c>
      <c r="X110" s="2" t="s">
        <v>48</v>
      </c>
      <c r="Y110" s="1">
        <f t="shared" si="12"/>
        <v>0.02</v>
      </c>
      <c r="Z110" s="2" t="s">
        <v>114</v>
      </c>
      <c r="AA110" s="1">
        <f t="shared" si="13"/>
        <v>0.1</v>
      </c>
      <c r="AB110" s="2" t="s">
        <v>93</v>
      </c>
      <c r="AC110" s="1">
        <f t="shared" si="14"/>
        <v>0.09</v>
      </c>
      <c r="AD110" s="2" t="s">
        <v>49</v>
      </c>
      <c r="AE110" s="1">
        <f t="shared" si="15"/>
        <v>0.04</v>
      </c>
      <c r="AF110" s="2" t="s">
        <v>298</v>
      </c>
      <c r="AG110" s="1">
        <f t="shared" si="16"/>
        <v>0.39</v>
      </c>
      <c r="AH110" s="2" t="s">
        <v>676</v>
      </c>
      <c r="AI110" s="1">
        <f t="shared" si="17"/>
        <v>-1.7</v>
      </c>
      <c r="AJ110" s="5">
        <v>46024.0</v>
      </c>
      <c r="AK110" s="1">
        <f t="shared" si="18"/>
        <v>1.2</v>
      </c>
      <c r="AL110" s="2" t="s">
        <v>456</v>
      </c>
      <c r="AM110" s="1">
        <f t="shared" si="19"/>
        <v>5.41</v>
      </c>
      <c r="AN110" s="1" t="s">
        <v>124</v>
      </c>
    </row>
    <row r="111">
      <c r="A111" s="1" t="s">
        <v>677</v>
      </c>
      <c r="B111" s="1" t="s">
        <v>73</v>
      </c>
      <c r="C111" s="5">
        <v>46089.0</v>
      </c>
      <c r="D111" s="1">
        <f t="shared" si="1"/>
        <v>3.8</v>
      </c>
      <c r="E111" s="2" t="s">
        <v>51</v>
      </c>
      <c r="F111" s="1">
        <f t="shared" si="2"/>
        <v>0.5</v>
      </c>
      <c r="G111" s="1" t="str">
        <f t="shared" si="3"/>
        <v>Low</v>
      </c>
      <c r="H111" s="2" t="s">
        <v>678</v>
      </c>
      <c r="I111" s="1">
        <f t="shared" si="4"/>
        <v>1524.39</v>
      </c>
      <c r="J111" s="2" t="s">
        <v>298</v>
      </c>
      <c r="K111" s="1">
        <f t="shared" si="5"/>
        <v>0.39</v>
      </c>
      <c r="L111" s="5">
        <v>46024.0</v>
      </c>
      <c r="M111" s="1">
        <f t="shared" si="6"/>
        <v>1.2</v>
      </c>
      <c r="N111" s="2" t="s">
        <v>66</v>
      </c>
      <c r="O111" s="1">
        <f t="shared" si="7"/>
        <v>0.21</v>
      </c>
      <c r="P111" s="2" t="s">
        <v>65</v>
      </c>
      <c r="Q111" s="1">
        <f t="shared" si="8"/>
        <v>0.55</v>
      </c>
      <c r="R111" s="2" t="s">
        <v>91</v>
      </c>
      <c r="S111" s="1">
        <f t="shared" si="9"/>
        <v>0.15</v>
      </c>
      <c r="T111" s="2" t="s">
        <v>679</v>
      </c>
      <c r="U111" s="1">
        <f t="shared" si="10"/>
        <v>2.54</v>
      </c>
      <c r="V111" s="2" t="s">
        <v>114</v>
      </c>
      <c r="W111" s="1">
        <f t="shared" si="11"/>
        <v>0.1</v>
      </c>
      <c r="X111" s="2" t="s">
        <v>680</v>
      </c>
      <c r="Y111" s="1">
        <f t="shared" si="12"/>
        <v>2.91</v>
      </c>
      <c r="Z111" s="2" t="s">
        <v>181</v>
      </c>
      <c r="AA111" s="1">
        <f t="shared" si="13"/>
        <v>0.05</v>
      </c>
      <c r="AB111" s="2" t="s">
        <v>681</v>
      </c>
      <c r="AC111" s="1">
        <f t="shared" si="14"/>
        <v>1.38</v>
      </c>
      <c r="AD111" s="2" t="s">
        <v>49</v>
      </c>
      <c r="AE111" s="1">
        <f t="shared" si="15"/>
        <v>0.04</v>
      </c>
      <c r="AF111" s="2" t="s">
        <v>207</v>
      </c>
      <c r="AG111" s="1">
        <f t="shared" si="16"/>
        <v>4.48</v>
      </c>
      <c r="AH111" s="2" t="s">
        <v>600</v>
      </c>
      <c r="AI111" s="1">
        <f t="shared" si="17"/>
        <v>1.93</v>
      </c>
      <c r="AJ111" s="2" t="s">
        <v>417</v>
      </c>
      <c r="AK111" s="1">
        <f t="shared" si="18"/>
        <v>1.47</v>
      </c>
      <c r="AL111" s="2" t="s">
        <v>138</v>
      </c>
      <c r="AM111" s="1">
        <f t="shared" si="19"/>
        <v>0.57</v>
      </c>
      <c r="AN111" s="1" t="s">
        <v>124</v>
      </c>
    </row>
    <row r="112">
      <c r="A112" s="1" t="s">
        <v>682</v>
      </c>
      <c r="B112" s="1" t="s">
        <v>73</v>
      </c>
      <c r="C112" s="5">
        <v>46046.0</v>
      </c>
      <c r="D112" s="1">
        <f t="shared" si="1"/>
        <v>1.24</v>
      </c>
      <c r="E112" s="2" t="s">
        <v>394</v>
      </c>
      <c r="F112" s="1">
        <f t="shared" si="2"/>
        <v>0.77</v>
      </c>
      <c r="G112" s="1" t="str">
        <f t="shared" si="3"/>
        <v>High</v>
      </c>
      <c r="H112" s="2" t="s">
        <v>683</v>
      </c>
      <c r="I112" s="1">
        <f t="shared" si="4"/>
        <v>8811.15</v>
      </c>
      <c r="J112" s="2" t="s">
        <v>88</v>
      </c>
      <c r="K112" s="1">
        <f t="shared" si="5"/>
        <v>0.52</v>
      </c>
      <c r="L112" s="2" t="s">
        <v>62</v>
      </c>
      <c r="M112" s="1">
        <f t="shared" si="6"/>
        <v>0.22</v>
      </c>
      <c r="N112" s="2" t="s">
        <v>42</v>
      </c>
      <c r="O112" s="1">
        <f t="shared" si="7"/>
        <v>0.18</v>
      </c>
      <c r="P112" s="2" t="s">
        <v>684</v>
      </c>
      <c r="Q112" s="1">
        <f t="shared" si="8"/>
        <v>1.99</v>
      </c>
      <c r="R112" s="2" t="s">
        <v>65</v>
      </c>
      <c r="S112" s="1">
        <f t="shared" si="9"/>
        <v>0.55</v>
      </c>
      <c r="T112" s="2" t="s">
        <v>685</v>
      </c>
      <c r="U112" s="1">
        <f t="shared" si="10"/>
        <v>3.46</v>
      </c>
      <c r="V112" s="2" t="s">
        <v>154</v>
      </c>
      <c r="W112" s="1">
        <f t="shared" si="11"/>
        <v>0.14</v>
      </c>
      <c r="X112" s="2">
        <v>0.0</v>
      </c>
      <c r="Y112" s="1">
        <f t="shared" si="12"/>
        <v>0</v>
      </c>
      <c r="Z112" s="2" t="s">
        <v>80</v>
      </c>
      <c r="AA112" s="1">
        <f t="shared" si="13"/>
        <v>0.01</v>
      </c>
      <c r="AB112" s="2" t="s">
        <v>157</v>
      </c>
      <c r="AC112" s="1">
        <f t="shared" si="14"/>
        <v>0.56</v>
      </c>
      <c r="AD112" s="2">
        <v>0.0</v>
      </c>
      <c r="AE112" s="1">
        <f t="shared" si="15"/>
        <v>0</v>
      </c>
      <c r="AF112" s="2" t="s">
        <v>163</v>
      </c>
      <c r="AG112" s="1">
        <f t="shared" si="16"/>
        <v>0.71</v>
      </c>
      <c r="AH112" s="2" t="s">
        <v>686</v>
      </c>
      <c r="AI112" s="1">
        <f t="shared" si="17"/>
        <v>-2.75</v>
      </c>
      <c r="AJ112" s="2">
        <v>2.0</v>
      </c>
      <c r="AK112" s="1">
        <f t="shared" si="18"/>
        <v>2</v>
      </c>
      <c r="AL112" s="2" t="s">
        <v>687</v>
      </c>
      <c r="AM112" s="1">
        <f t="shared" si="19"/>
        <v>4.89</v>
      </c>
      <c r="AN112" s="1">
        <v>5.0</v>
      </c>
    </row>
    <row r="113">
      <c r="A113" s="1" t="s">
        <v>688</v>
      </c>
      <c r="B113" s="1" t="s">
        <v>103</v>
      </c>
      <c r="C113" s="2" t="s">
        <v>689</v>
      </c>
      <c r="D113" s="1">
        <f t="shared" si="1"/>
        <v>120.85</v>
      </c>
      <c r="E113" s="2" t="s">
        <v>167</v>
      </c>
      <c r="F113" s="1">
        <f t="shared" si="2"/>
        <v>0.75</v>
      </c>
      <c r="G113" s="1" t="str">
        <f t="shared" si="3"/>
        <v>High</v>
      </c>
      <c r="H113" s="2" t="s">
        <v>690</v>
      </c>
      <c r="I113" s="1">
        <f t="shared" si="4"/>
        <v>10123.9</v>
      </c>
      <c r="J113" s="2" t="s">
        <v>65</v>
      </c>
      <c r="K113" s="1">
        <f t="shared" si="5"/>
        <v>0.55</v>
      </c>
      <c r="L113" s="2" t="s">
        <v>45</v>
      </c>
      <c r="M113" s="1">
        <f t="shared" si="6"/>
        <v>0.24</v>
      </c>
      <c r="N113" s="2" t="s">
        <v>63</v>
      </c>
      <c r="O113" s="1">
        <f t="shared" si="7"/>
        <v>0.25</v>
      </c>
      <c r="P113" s="2" t="s">
        <v>262</v>
      </c>
      <c r="Q113" s="1">
        <f t="shared" si="8"/>
        <v>1.74</v>
      </c>
      <c r="R113" s="2" t="s">
        <v>69</v>
      </c>
      <c r="S113" s="1">
        <f t="shared" si="9"/>
        <v>0.06</v>
      </c>
      <c r="T113" s="2" t="s">
        <v>691</v>
      </c>
      <c r="U113" s="1">
        <f t="shared" si="10"/>
        <v>2.89</v>
      </c>
      <c r="V113" s="2" t="s">
        <v>101</v>
      </c>
      <c r="W113" s="1">
        <f t="shared" si="11"/>
        <v>0.37</v>
      </c>
      <c r="X113" s="2" t="s">
        <v>45</v>
      </c>
      <c r="Y113" s="1">
        <f t="shared" si="12"/>
        <v>0.24</v>
      </c>
      <c r="Z113" s="2" t="s">
        <v>300</v>
      </c>
      <c r="AA113" s="1">
        <f t="shared" si="13"/>
        <v>0.47</v>
      </c>
      <c r="AB113" s="2" t="s">
        <v>154</v>
      </c>
      <c r="AC113" s="1">
        <f t="shared" si="14"/>
        <v>0.14</v>
      </c>
      <c r="AD113" s="2" t="s">
        <v>181</v>
      </c>
      <c r="AE113" s="1">
        <f t="shared" si="15"/>
        <v>0.05</v>
      </c>
      <c r="AF113" s="5">
        <v>46049.0</v>
      </c>
      <c r="AG113" s="1">
        <f t="shared" si="16"/>
        <v>1.27</v>
      </c>
      <c r="AH113" s="2" t="s">
        <v>692</v>
      </c>
      <c r="AI113" s="1">
        <f t="shared" si="17"/>
        <v>-1.62</v>
      </c>
      <c r="AJ113" s="2" t="s">
        <v>119</v>
      </c>
      <c r="AK113" s="1">
        <f t="shared" si="18"/>
        <v>1.67</v>
      </c>
      <c r="AL113" s="5">
        <v>46080.0</v>
      </c>
      <c r="AM113" s="1">
        <f t="shared" si="19"/>
        <v>2.27</v>
      </c>
      <c r="AN113" s="1">
        <v>5.0</v>
      </c>
    </row>
    <row r="114">
      <c r="A114" s="1" t="s">
        <v>693</v>
      </c>
      <c r="B114" s="1" t="s">
        <v>58</v>
      </c>
      <c r="C114" s="2" t="s">
        <v>694</v>
      </c>
      <c r="D114" s="1">
        <f t="shared" si="1"/>
        <v>3.51</v>
      </c>
      <c r="E114" s="2" t="s">
        <v>324</v>
      </c>
      <c r="F114" s="1">
        <f t="shared" si="2"/>
        <v>0.68</v>
      </c>
      <c r="G114" s="1" t="str">
        <f t="shared" si="3"/>
        <v>Medium</v>
      </c>
      <c r="H114" s="2" t="s">
        <v>695</v>
      </c>
      <c r="I114" s="1">
        <f t="shared" si="4"/>
        <v>1971.03</v>
      </c>
      <c r="J114" s="2" t="s">
        <v>248</v>
      </c>
      <c r="K114" s="1">
        <f t="shared" si="5"/>
        <v>0.43</v>
      </c>
      <c r="L114" s="2" t="s">
        <v>41</v>
      </c>
      <c r="M114" s="1">
        <f t="shared" si="6"/>
        <v>0.08</v>
      </c>
      <c r="N114" s="2" t="s">
        <v>91</v>
      </c>
      <c r="O114" s="1">
        <f t="shared" si="7"/>
        <v>0.15</v>
      </c>
      <c r="P114" s="6">
        <v>46025.0</v>
      </c>
      <c r="Q114" s="1">
        <f t="shared" si="8"/>
        <v>1.03</v>
      </c>
      <c r="R114" s="2" t="s">
        <v>69</v>
      </c>
      <c r="S114" s="1">
        <f t="shared" si="9"/>
        <v>0.06</v>
      </c>
      <c r="T114" s="2" t="s">
        <v>387</v>
      </c>
      <c r="U114" s="1">
        <f t="shared" si="10"/>
        <v>1.78</v>
      </c>
      <c r="V114" s="2" t="s">
        <v>83</v>
      </c>
      <c r="W114" s="1">
        <f t="shared" si="11"/>
        <v>0.59</v>
      </c>
      <c r="X114" s="2" t="s">
        <v>68</v>
      </c>
      <c r="Y114" s="1">
        <f t="shared" si="12"/>
        <v>0.07</v>
      </c>
      <c r="Z114" s="2" t="s">
        <v>114</v>
      </c>
      <c r="AA114" s="1">
        <f t="shared" si="13"/>
        <v>0.1</v>
      </c>
      <c r="AB114" s="2" t="s">
        <v>80</v>
      </c>
      <c r="AC114" s="1">
        <f t="shared" si="14"/>
        <v>0.01</v>
      </c>
      <c r="AD114" s="2" t="s">
        <v>82</v>
      </c>
      <c r="AE114" s="1">
        <f t="shared" si="15"/>
        <v>0.03</v>
      </c>
      <c r="AF114" s="2" t="s">
        <v>213</v>
      </c>
      <c r="AG114" s="1">
        <f t="shared" si="16"/>
        <v>0.8</v>
      </c>
      <c r="AH114" s="2" t="s">
        <v>696</v>
      </c>
      <c r="AI114" s="1">
        <f t="shared" si="17"/>
        <v>-0.98</v>
      </c>
      <c r="AJ114" s="6">
        <v>46025.0</v>
      </c>
      <c r="AK114" s="1">
        <f t="shared" si="18"/>
        <v>1.03</v>
      </c>
      <c r="AL114" s="5">
        <v>46076.0</v>
      </c>
      <c r="AM114" s="1">
        <f t="shared" si="19"/>
        <v>2.23</v>
      </c>
      <c r="AN114" s="1">
        <v>5.0</v>
      </c>
    </row>
    <row r="115">
      <c r="A115" s="1" t="s">
        <v>697</v>
      </c>
      <c r="B115" s="1" t="s">
        <v>134</v>
      </c>
      <c r="C115" s="5">
        <v>46061.0</v>
      </c>
      <c r="D115" s="1">
        <f t="shared" si="1"/>
        <v>2.8</v>
      </c>
      <c r="E115" s="2" t="s">
        <v>163</v>
      </c>
      <c r="F115" s="1">
        <f t="shared" si="2"/>
        <v>0.71</v>
      </c>
      <c r="G115" s="1" t="str">
        <f t="shared" si="3"/>
        <v>High</v>
      </c>
      <c r="H115" s="2" t="s">
        <v>698</v>
      </c>
      <c r="I115" s="1">
        <f t="shared" si="4"/>
        <v>3736.07</v>
      </c>
      <c r="J115" s="2" t="s">
        <v>67</v>
      </c>
      <c r="K115" s="1">
        <f t="shared" si="5"/>
        <v>0.29</v>
      </c>
      <c r="L115" s="2" t="s">
        <v>272</v>
      </c>
      <c r="M115" s="1">
        <f t="shared" si="6"/>
        <v>3.47</v>
      </c>
      <c r="N115" s="2" t="s">
        <v>79</v>
      </c>
      <c r="O115" s="1">
        <f t="shared" si="7"/>
        <v>0.17</v>
      </c>
      <c r="P115" s="6">
        <v>46062.0</v>
      </c>
      <c r="Q115" s="1">
        <f t="shared" si="8"/>
        <v>2.09</v>
      </c>
      <c r="R115" s="2">
        <v>0.0</v>
      </c>
      <c r="S115" s="1">
        <f t="shared" si="9"/>
        <v>0</v>
      </c>
      <c r="T115" s="6">
        <v>46181.0</v>
      </c>
      <c r="U115" s="1">
        <f t="shared" si="10"/>
        <v>6.08</v>
      </c>
      <c r="V115" s="2" t="s">
        <v>66</v>
      </c>
      <c r="W115" s="1">
        <f t="shared" si="11"/>
        <v>0.21</v>
      </c>
      <c r="X115" s="5">
        <v>46257.0</v>
      </c>
      <c r="Y115" s="1">
        <f t="shared" si="12"/>
        <v>8.23</v>
      </c>
      <c r="Z115" s="6">
        <v>46206.0</v>
      </c>
      <c r="AA115" s="1">
        <f t="shared" si="13"/>
        <v>7.03</v>
      </c>
      <c r="AB115" s="2" t="s">
        <v>154</v>
      </c>
      <c r="AC115" s="1">
        <f t="shared" si="14"/>
        <v>0.14</v>
      </c>
      <c r="AD115" s="2" t="s">
        <v>181</v>
      </c>
      <c r="AE115" s="1">
        <f t="shared" si="15"/>
        <v>0.05</v>
      </c>
      <c r="AF115" s="2" t="s">
        <v>699</v>
      </c>
      <c r="AG115" s="1">
        <f t="shared" si="16"/>
        <v>15.66</v>
      </c>
      <c r="AH115" s="2" t="s">
        <v>700</v>
      </c>
      <c r="AI115" s="1">
        <f t="shared" si="17"/>
        <v>9.58</v>
      </c>
      <c r="AJ115" s="2" t="s">
        <v>694</v>
      </c>
      <c r="AK115" s="1">
        <f t="shared" si="18"/>
        <v>3.51</v>
      </c>
      <c r="AL115" s="2" t="s">
        <v>298</v>
      </c>
      <c r="AM115" s="1">
        <f t="shared" si="19"/>
        <v>0.39</v>
      </c>
      <c r="AN115" s="1" t="s">
        <v>124</v>
      </c>
    </row>
    <row r="116">
      <c r="A116" s="1" t="s">
        <v>701</v>
      </c>
      <c r="B116" s="1" t="s">
        <v>58</v>
      </c>
      <c r="C116" s="2" t="s">
        <v>275</v>
      </c>
      <c r="D116" s="1">
        <f t="shared" si="1"/>
        <v>0.62</v>
      </c>
      <c r="E116" s="2" t="s">
        <v>213</v>
      </c>
      <c r="F116" s="1">
        <f t="shared" si="2"/>
        <v>0.8</v>
      </c>
      <c r="G116" s="1" t="str">
        <f t="shared" si="3"/>
        <v>High</v>
      </c>
      <c r="H116" s="2" t="s">
        <v>702</v>
      </c>
      <c r="I116" s="1">
        <f t="shared" si="4"/>
        <v>7251.6</v>
      </c>
      <c r="J116" s="2" t="s">
        <v>96</v>
      </c>
      <c r="K116" s="1">
        <f t="shared" si="5"/>
        <v>0.64</v>
      </c>
      <c r="L116" s="2" t="s">
        <v>90</v>
      </c>
      <c r="M116" s="1">
        <f t="shared" si="6"/>
        <v>0.33</v>
      </c>
      <c r="N116" s="2" t="s">
        <v>275</v>
      </c>
      <c r="O116" s="1">
        <f t="shared" si="7"/>
        <v>0.62</v>
      </c>
      <c r="P116" s="5">
        <v>46066.0</v>
      </c>
      <c r="Q116" s="1">
        <f t="shared" si="8"/>
        <v>2.13</v>
      </c>
      <c r="R116" s="2" t="s">
        <v>181</v>
      </c>
      <c r="S116" s="1">
        <f t="shared" si="9"/>
        <v>0.05</v>
      </c>
      <c r="T116" s="2" t="s">
        <v>121</v>
      </c>
      <c r="U116" s="1">
        <f t="shared" si="10"/>
        <v>3.78</v>
      </c>
      <c r="V116" s="2" t="s">
        <v>154</v>
      </c>
      <c r="W116" s="1">
        <f t="shared" si="11"/>
        <v>0.14</v>
      </c>
      <c r="X116" s="2" t="s">
        <v>62</v>
      </c>
      <c r="Y116" s="1">
        <f t="shared" si="12"/>
        <v>0.22</v>
      </c>
      <c r="Z116" s="2" t="s">
        <v>659</v>
      </c>
      <c r="AA116" s="1">
        <f t="shared" si="13"/>
        <v>2.63</v>
      </c>
      <c r="AB116" s="2" t="s">
        <v>45</v>
      </c>
      <c r="AC116" s="1">
        <f t="shared" si="14"/>
        <v>0.24</v>
      </c>
      <c r="AD116" s="2" t="s">
        <v>80</v>
      </c>
      <c r="AE116" s="1">
        <f t="shared" si="15"/>
        <v>0.01</v>
      </c>
      <c r="AF116" s="5">
        <v>46105.0</v>
      </c>
      <c r="AG116" s="1">
        <f t="shared" si="16"/>
        <v>3.24</v>
      </c>
      <c r="AH116" s="2" t="s">
        <v>703</v>
      </c>
      <c r="AI116" s="1">
        <f t="shared" si="17"/>
        <v>-0.54</v>
      </c>
      <c r="AJ116" s="5">
        <v>46072.0</v>
      </c>
      <c r="AK116" s="1">
        <f t="shared" si="18"/>
        <v>2.19</v>
      </c>
      <c r="AL116" s="5">
        <v>46039.0</v>
      </c>
      <c r="AM116" s="1">
        <f t="shared" si="19"/>
        <v>1.17</v>
      </c>
      <c r="AN116" s="1">
        <v>5.0</v>
      </c>
    </row>
    <row r="117">
      <c r="A117" s="1" t="s">
        <v>704</v>
      </c>
      <c r="B117" s="1" t="s">
        <v>103</v>
      </c>
      <c r="C117" s="2">
        <v>0.0</v>
      </c>
      <c r="D117" s="1">
        <f t="shared" si="1"/>
        <v>0</v>
      </c>
      <c r="F117" s="1" t="str">
        <f t="shared" si="2"/>
        <v/>
      </c>
      <c r="G117" s="1" t="str">
        <f t="shared" si="3"/>
        <v>Unknown</v>
      </c>
      <c r="I117" s="1" t="str">
        <f t="shared" si="4"/>
        <v/>
      </c>
      <c r="K117" s="1" t="str">
        <f t="shared" si="5"/>
        <v/>
      </c>
      <c r="M117" s="1" t="str">
        <f t="shared" si="6"/>
        <v/>
      </c>
      <c r="O117" s="1" t="str">
        <f t="shared" si="7"/>
        <v/>
      </c>
      <c r="Q117" s="1" t="str">
        <f t="shared" si="8"/>
        <v/>
      </c>
      <c r="S117" s="1" t="str">
        <f t="shared" si="9"/>
        <v/>
      </c>
      <c r="T117" s="2" t="s">
        <v>705</v>
      </c>
      <c r="U117" s="1">
        <f t="shared" si="10"/>
        <v>7.78</v>
      </c>
      <c r="W117" s="1" t="str">
        <f t="shared" si="11"/>
        <v/>
      </c>
      <c r="Y117" s="1" t="str">
        <f t="shared" si="12"/>
        <v/>
      </c>
      <c r="AA117" s="1" t="str">
        <f t="shared" si="13"/>
        <v/>
      </c>
      <c r="AC117" s="1" t="str">
        <f t="shared" si="14"/>
        <v/>
      </c>
      <c r="AE117" s="1" t="str">
        <f t="shared" si="15"/>
        <v/>
      </c>
      <c r="AF117" s="2" t="s">
        <v>563</v>
      </c>
      <c r="AG117" s="1">
        <f t="shared" si="16"/>
        <v>1.36</v>
      </c>
      <c r="AH117" s="2" t="s">
        <v>706</v>
      </c>
      <c r="AI117" s="1">
        <f t="shared" si="17"/>
        <v>-6.42</v>
      </c>
      <c r="AJ117" s="2" t="s">
        <v>707</v>
      </c>
      <c r="AK117" s="1">
        <f t="shared" si="18"/>
        <v>4.49</v>
      </c>
      <c r="AL117" s="2" t="s">
        <v>708</v>
      </c>
      <c r="AM117" s="1">
        <f t="shared" si="19"/>
        <v>5.71</v>
      </c>
      <c r="AN117" s="1">
        <v>2.0</v>
      </c>
    </row>
    <row r="118">
      <c r="A118" s="1" t="s">
        <v>709</v>
      </c>
      <c r="B118" s="1" t="s">
        <v>73</v>
      </c>
      <c r="C118" s="2" t="s">
        <v>710</v>
      </c>
      <c r="D118" s="1">
        <f t="shared" si="1"/>
        <v>32.52</v>
      </c>
      <c r="E118" s="2" t="s">
        <v>275</v>
      </c>
      <c r="F118" s="1">
        <f t="shared" si="2"/>
        <v>0.62</v>
      </c>
      <c r="G118" s="1" t="str">
        <f t="shared" si="3"/>
        <v>Medium</v>
      </c>
      <c r="H118" s="2" t="s">
        <v>711</v>
      </c>
      <c r="I118" s="1">
        <f t="shared" si="4"/>
        <v>3149.43</v>
      </c>
      <c r="J118" s="2" t="s">
        <v>77</v>
      </c>
      <c r="K118" s="1">
        <f t="shared" si="5"/>
        <v>0.6</v>
      </c>
      <c r="L118" s="2" t="s">
        <v>79</v>
      </c>
      <c r="M118" s="1">
        <f t="shared" si="6"/>
        <v>0.17</v>
      </c>
      <c r="N118" s="2" t="s">
        <v>154</v>
      </c>
      <c r="O118" s="1">
        <f t="shared" si="7"/>
        <v>0.14</v>
      </c>
      <c r="P118" s="2" t="s">
        <v>254</v>
      </c>
      <c r="Q118" s="1">
        <f t="shared" si="8"/>
        <v>0.67</v>
      </c>
      <c r="R118" s="2" t="s">
        <v>69</v>
      </c>
      <c r="S118" s="1">
        <f t="shared" si="9"/>
        <v>0.06</v>
      </c>
      <c r="T118" s="2" t="s">
        <v>539</v>
      </c>
      <c r="U118" s="1">
        <f t="shared" si="10"/>
        <v>1.68</v>
      </c>
      <c r="V118" s="2" t="s">
        <v>130</v>
      </c>
      <c r="W118" s="1">
        <f t="shared" si="11"/>
        <v>0.34</v>
      </c>
      <c r="X118" s="2" t="s">
        <v>79</v>
      </c>
      <c r="Y118" s="1">
        <f t="shared" si="12"/>
        <v>0.17</v>
      </c>
      <c r="Z118" s="2" t="s">
        <v>114</v>
      </c>
      <c r="AA118" s="1">
        <f t="shared" si="13"/>
        <v>0.1</v>
      </c>
      <c r="AB118" s="2" t="s">
        <v>68</v>
      </c>
      <c r="AC118" s="1">
        <f t="shared" si="14"/>
        <v>0.07</v>
      </c>
      <c r="AD118" s="2" t="s">
        <v>82</v>
      </c>
      <c r="AE118" s="1">
        <f t="shared" si="15"/>
        <v>0.03</v>
      </c>
      <c r="AF118" s="2" t="s">
        <v>163</v>
      </c>
      <c r="AG118" s="1">
        <f t="shared" si="16"/>
        <v>0.71</v>
      </c>
      <c r="AH118" s="2" t="s">
        <v>712</v>
      </c>
      <c r="AI118" s="1">
        <f t="shared" si="17"/>
        <v>-0.96</v>
      </c>
      <c r="AJ118" s="2" t="s">
        <v>177</v>
      </c>
      <c r="AK118" s="1">
        <f t="shared" si="18"/>
        <v>0.97</v>
      </c>
      <c r="AL118" s="2" t="s">
        <v>713</v>
      </c>
      <c r="AM118" s="1">
        <f t="shared" si="19"/>
        <v>2.35</v>
      </c>
      <c r="AN118" s="1">
        <v>5.0</v>
      </c>
    </row>
    <row r="119">
      <c r="A119" s="1" t="s">
        <v>714</v>
      </c>
      <c r="B119" s="1" t="s">
        <v>73</v>
      </c>
      <c r="C119" s="2" t="s">
        <v>715</v>
      </c>
      <c r="D119" s="1">
        <f t="shared" si="1"/>
        <v>25.2</v>
      </c>
      <c r="E119" s="2" t="s">
        <v>283</v>
      </c>
      <c r="F119" s="1">
        <f t="shared" si="2"/>
        <v>0.41</v>
      </c>
      <c r="G119" s="1" t="str">
        <f t="shared" si="3"/>
        <v>Low</v>
      </c>
      <c r="H119" s="2" t="s">
        <v>716</v>
      </c>
      <c r="I119" s="1">
        <f t="shared" si="4"/>
        <v>538.82</v>
      </c>
      <c r="J119" s="2" t="s">
        <v>285</v>
      </c>
      <c r="K119" s="1">
        <f t="shared" si="5"/>
        <v>0.31</v>
      </c>
      <c r="L119" s="2" t="s">
        <v>82</v>
      </c>
      <c r="M119" s="1">
        <f t="shared" si="6"/>
        <v>0.03</v>
      </c>
      <c r="N119" s="2" t="s">
        <v>67</v>
      </c>
      <c r="O119" s="1">
        <f t="shared" si="7"/>
        <v>0.29</v>
      </c>
      <c r="P119" s="2" t="s">
        <v>79</v>
      </c>
      <c r="Q119" s="1">
        <f t="shared" si="8"/>
        <v>0.17</v>
      </c>
      <c r="R119" s="2" t="s">
        <v>82</v>
      </c>
      <c r="S119" s="1">
        <f t="shared" si="9"/>
        <v>0.03</v>
      </c>
      <c r="T119" s="2" t="s">
        <v>64</v>
      </c>
      <c r="U119" s="1">
        <f t="shared" si="10"/>
        <v>0.87</v>
      </c>
      <c r="V119" s="2" t="s">
        <v>203</v>
      </c>
      <c r="W119" s="1">
        <f t="shared" si="11"/>
        <v>0.28</v>
      </c>
      <c r="X119" s="2" t="s">
        <v>466</v>
      </c>
      <c r="Y119" s="1">
        <f t="shared" si="12"/>
        <v>0.96</v>
      </c>
      <c r="Z119" s="2" t="s">
        <v>348</v>
      </c>
      <c r="AA119" s="1">
        <f t="shared" si="13"/>
        <v>0.61</v>
      </c>
      <c r="AB119" s="2" t="s">
        <v>79</v>
      </c>
      <c r="AC119" s="1">
        <f t="shared" si="14"/>
        <v>0.17</v>
      </c>
      <c r="AD119" s="2" t="s">
        <v>181</v>
      </c>
      <c r="AE119" s="1">
        <f t="shared" si="15"/>
        <v>0.05</v>
      </c>
      <c r="AF119" s="6">
        <v>46059.0</v>
      </c>
      <c r="AG119" s="1">
        <f t="shared" si="16"/>
        <v>2.06</v>
      </c>
      <c r="AH119" s="5">
        <v>46041.0</v>
      </c>
      <c r="AI119" s="1">
        <f t="shared" si="17"/>
        <v>1.19</v>
      </c>
      <c r="AJ119" s="2" t="s">
        <v>51</v>
      </c>
      <c r="AK119" s="1">
        <f t="shared" si="18"/>
        <v>0.5</v>
      </c>
      <c r="AL119" s="2" t="s">
        <v>201</v>
      </c>
      <c r="AM119" s="1">
        <f t="shared" si="19"/>
        <v>0.42</v>
      </c>
      <c r="AN119" s="1">
        <v>5.0</v>
      </c>
    </row>
    <row r="120">
      <c r="A120" s="1" t="s">
        <v>717</v>
      </c>
      <c r="B120" s="1" t="s">
        <v>134</v>
      </c>
      <c r="C120" s="2" t="s">
        <v>718</v>
      </c>
      <c r="D120" s="1">
        <f t="shared" si="1"/>
        <v>52.8</v>
      </c>
      <c r="E120" s="2" t="s">
        <v>465</v>
      </c>
      <c r="F120" s="1">
        <f t="shared" si="2"/>
        <v>0.53</v>
      </c>
      <c r="G120" s="1" t="str">
        <f t="shared" si="3"/>
        <v>Low</v>
      </c>
      <c r="H120" s="2" t="s">
        <v>719</v>
      </c>
      <c r="I120" s="1">
        <f t="shared" si="4"/>
        <v>1117.58</v>
      </c>
      <c r="J120" s="2" t="s">
        <v>213</v>
      </c>
      <c r="K120" s="1">
        <f t="shared" si="5"/>
        <v>0.8</v>
      </c>
      <c r="L120" s="2" t="s">
        <v>80</v>
      </c>
      <c r="M120" s="1">
        <f t="shared" si="6"/>
        <v>0.01</v>
      </c>
      <c r="N120" s="2" t="s">
        <v>310</v>
      </c>
      <c r="O120" s="1">
        <f t="shared" si="7"/>
        <v>0.32</v>
      </c>
      <c r="P120" s="2" t="s">
        <v>93</v>
      </c>
      <c r="Q120" s="1">
        <f t="shared" si="8"/>
        <v>0.09</v>
      </c>
      <c r="R120" s="2" t="s">
        <v>114</v>
      </c>
      <c r="S120" s="1">
        <f t="shared" si="9"/>
        <v>0.1</v>
      </c>
      <c r="T120" s="2" t="s">
        <v>720</v>
      </c>
      <c r="U120" s="1">
        <f t="shared" si="10"/>
        <v>1.43</v>
      </c>
      <c r="V120" s="2" t="s">
        <v>159</v>
      </c>
      <c r="W120" s="1">
        <f t="shared" si="11"/>
        <v>0.88</v>
      </c>
      <c r="X120" s="2">
        <v>0.0</v>
      </c>
      <c r="Y120" s="1">
        <f t="shared" si="12"/>
        <v>0</v>
      </c>
      <c r="Z120" s="2" t="s">
        <v>157</v>
      </c>
      <c r="AA120" s="1">
        <f t="shared" si="13"/>
        <v>0.56</v>
      </c>
      <c r="AB120" s="2" t="s">
        <v>203</v>
      </c>
      <c r="AC120" s="1">
        <f t="shared" si="14"/>
        <v>0.28</v>
      </c>
      <c r="AD120" s="2" t="s">
        <v>149</v>
      </c>
      <c r="AE120" s="1">
        <f t="shared" si="15"/>
        <v>0.11</v>
      </c>
      <c r="AF120" s="2" t="s">
        <v>721</v>
      </c>
      <c r="AG120" s="1">
        <f t="shared" si="16"/>
        <v>1.84</v>
      </c>
      <c r="AH120" s="2" t="s">
        <v>283</v>
      </c>
      <c r="AI120" s="1">
        <f t="shared" si="17"/>
        <v>0.41</v>
      </c>
      <c r="AJ120" s="2" t="s">
        <v>111</v>
      </c>
      <c r="AK120" s="1">
        <f t="shared" si="18"/>
        <v>0.83</v>
      </c>
      <c r="AL120" s="2" t="s">
        <v>61</v>
      </c>
      <c r="AM120" s="1">
        <f t="shared" si="19"/>
        <v>0.78</v>
      </c>
      <c r="AN120" s="1">
        <v>6.0</v>
      </c>
    </row>
    <row r="121">
      <c r="A121" s="1" t="s">
        <v>722</v>
      </c>
      <c r="B121" s="1" t="s">
        <v>73</v>
      </c>
      <c r="C121" s="5">
        <v>46079.0</v>
      </c>
      <c r="D121" s="1">
        <f t="shared" si="1"/>
        <v>2.26</v>
      </c>
      <c r="E121" s="2" t="s">
        <v>275</v>
      </c>
      <c r="F121" s="1">
        <f t="shared" si="2"/>
        <v>0.62</v>
      </c>
      <c r="G121" s="1" t="str">
        <f t="shared" si="3"/>
        <v>Medium</v>
      </c>
      <c r="H121" s="2" t="s">
        <v>723</v>
      </c>
      <c r="I121" s="1">
        <f t="shared" si="4"/>
        <v>5880.8</v>
      </c>
      <c r="J121" s="2" t="s">
        <v>90</v>
      </c>
      <c r="K121" s="1">
        <f t="shared" si="5"/>
        <v>0.33</v>
      </c>
      <c r="L121" s="2" t="s">
        <v>365</v>
      </c>
      <c r="M121" s="1">
        <f t="shared" si="6"/>
        <v>0.23</v>
      </c>
      <c r="N121" s="2" t="s">
        <v>79</v>
      </c>
      <c r="O121" s="1">
        <f t="shared" si="7"/>
        <v>0.17</v>
      </c>
      <c r="P121" s="6">
        <v>46024.0</v>
      </c>
      <c r="Q121" s="1">
        <f t="shared" si="8"/>
        <v>1.02</v>
      </c>
      <c r="R121" s="2" t="s">
        <v>186</v>
      </c>
      <c r="S121" s="1">
        <f t="shared" si="9"/>
        <v>0.72</v>
      </c>
      <c r="T121" s="2" t="s">
        <v>312</v>
      </c>
      <c r="U121" s="1">
        <f t="shared" si="10"/>
        <v>2.48</v>
      </c>
      <c r="V121" s="2" t="s">
        <v>154</v>
      </c>
      <c r="W121" s="1">
        <f t="shared" si="11"/>
        <v>0.14</v>
      </c>
      <c r="X121" s="5">
        <v>46028.0</v>
      </c>
      <c r="Y121" s="1">
        <f t="shared" si="12"/>
        <v>1.6</v>
      </c>
      <c r="Z121" s="2" t="s">
        <v>302</v>
      </c>
      <c r="AA121" s="1">
        <f t="shared" si="13"/>
        <v>0.36</v>
      </c>
      <c r="AB121" s="2" t="s">
        <v>724</v>
      </c>
      <c r="AC121" s="1">
        <f t="shared" si="14"/>
        <v>4.76</v>
      </c>
      <c r="AD121" s="2" t="s">
        <v>48</v>
      </c>
      <c r="AE121" s="1">
        <f t="shared" si="15"/>
        <v>0.02</v>
      </c>
      <c r="AF121" s="2" t="s">
        <v>725</v>
      </c>
      <c r="AG121" s="1">
        <f t="shared" si="16"/>
        <v>6.88</v>
      </c>
      <c r="AH121" s="5">
        <v>46116.0</v>
      </c>
      <c r="AI121" s="1">
        <f t="shared" si="17"/>
        <v>4.4</v>
      </c>
      <c r="AJ121" s="2" t="s">
        <v>720</v>
      </c>
      <c r="AK121" s="1">
        <f t="shared" si="18"/>
        <v>1.43</v>
      </c>
      <c r="AL121" s="2" t="s">
        <v>302</v>
      </c>
      <c r="AM121" s="1">
        <f t="shared" si="19"/>
        <v>0.36</v>
      </c>
      <c r="AN121" s="1" t="s">
        <v>164</v>
      </c>
    </row>
    <row r="122">
      <c r="A122" s="1" t="s">
        <v>726</v>
      </c>
      <c r="B122" s="1" t="s">
        <v>134</v>
      </c>
      <c r="C122" s="2" t="s">
        <v>80</v>
      </c>
      <c r="D122" s="1">
        <f t="shared" si="1"/>
        <v>0.01</v>
      </c>
      <c r="F122" s="1" t="str">
        <f t="shared" si="2"/>
        <v/>
      </c>
      <c r="G122" s="1" t="str">
        <f t="shared" si="3"/>
        <v>Unknown</v>
      </c>
      <c r="I122" s="1" t="str">
        <f t="shared" si="4"/>
        <v/>
      </c>
      <c r="K122" s="1" t="str">
        <f t="shared" si="5"/>
        <v/>
      </c>
      <c r="M122" s="1" t="str">
        <f t="shared" si="6"/>
        <v/>
      </c>
      <c r="O122" s="1" t="str">
        <f t="shared" si="7"/>
        <v/>
      </c>
      <c r="Q122" s="1" t="str">
        <f t="shared" si="8"/>
        <v/>
      </c>
      <c r="S122" s="1" t="str">
        <f t="shared" si="9"/>
        <v/>
      </c>
      <c r="T122" s="2" t="s">
        <v>222</v>
      </c>
      <c r="U122" s="1">
        <f t="shared" si="10"/>
        <v>2.94</v>
      </c>
      <c r="W122" s="1" t="str">
        <f t="shared" si="11"/>
        <v/>
      </c>
      <c r="Y122" s="1" t="str">
        <f t="shared" si="12"/>
        <v/>
      </c>
      <c r="AA122" s="1" t="str">
        <f t="shared" si="13"/>
        <v/>
      </c>
      <c r="AC122" s="1" t="str">
        <f t="shared" si="14"/>
        <v/>
      </c>
      <c r="AE122" s="1" t="str">
        <f t="shared" si="15"/>
        <v/>
      </c>
      <c r="AF122" s="2" t="s">
        <v>178</v>
      </c>
      <c r="AG122" s="1">
        <f t="shared" si="16"/>
        <v>0.19</v>
      </c>
      <c r="AH122" s="2" t="s">
        <v>727</v>
      </c>
      <c r="AI122" s="1">
        <f t="shared" si="17"/>
        <v>-2.76</v>
      </c>
      <c r="AJ122" s="5">
        <v>46029.0</v>
      </c>
      <c r="AK122" s="1">
        <f t="shared" si="18"/>
        <v>1.7</v>
      </c>
      <c r="AL122" s="2" t="s">
        <v>728</v>
      </c>
      <c r="AM122" s="1">
        <f t="shared" si="19"/>
        <v>15.83</v>
      </c>
      <c r="AN122" s="1">
        <v>2.0</v>
      </c>
    </row>
    <row r="123">
      <c r="A123" s="1" t="s">
        <v>729</v>
      </c>
      <c r="B123" s="1" t="s">
        <v>134</v>
      </c>
      <c r="C123" s="2" t="s">
        <v>730</v>
      </c>
      <c r="D123" s="1">
        <f t="shared" si="1"/>
        <v>27.47</v>
      </c>
      <c r="E123" s="2" t="s">
        <v>100</v>
      </c>
      <c r="F123" s="1">
        <f t="shared" si="2"/>
        <v>0.54</v>
      </c>
      <c r="G123" s="1" t="str">
        <f t="shared" si="3"/>
        <v>Low</v>
      </c>
      <c r="H123" s="2" t="s">
        <v>731</v>
      </c>
      <c r="I123" s="1">
        <f t="shared" si="4"/>
        <v>700.07</v>
      </c>
      <c r="J123" s="2" t="s">
        <v>248</v>
      </c>
      <c r="K123" s="1">
        <f t="shared" si="5"/>
        <v>0.43</v>
      </c>
      <c r="L123" s="2" t="s">
        <v>68</v>
      </c>
      <c r="M123" s="1">
        <f t="shared" si="6"/>
        <v>0.07</v>
      </c>
      <c r="N123" s="2" t="s">
        <v>66</v>
      </c>
      <c r="O123" s="1">
        <f t="shared" si="7"/>
        <v>0.21</v>
      </c>
      <c r="P123" s="2" t="s">
        <v>78</v>
      </c>
      <c r="Q123" s="1">
        <f t="shared" si="8"/>
        <v>0.16</v>
      </c>
      <c r="R123" s="2">
        <v>0.0</v>
      </c>
      <c r="S123" s="1">
        <f t="shared" si="9"/>
        <v>0</v>
      </c>
      <c r="T123" s="2" t="s">
        <v>303</v>
      </c>
      <c r="U123" s="1">
        <f t="shared" si="10"/>
        <v>0.98</v>
      </c>
      <c r="V123" s="2" t="s">
        <v>101</v>
      </c>
      <c r="W123" s="1">
        <f t="shared" si="11"/>
        <v>0.37</v>
      </c>
      <c r="X123" s="2" t="s">
        <v>181</v>
      </c>
      <c r="Y123" s="1">
        <f t="shared" si="12"/>
        <v>0.05</v>
      </c>
      <c r="Z123" s="2" t="s">
        <v>69</v>
      </c>
      <c r="AA123" s="1">
        <f t="shared" si="13"/>
        <v>0.06</v>
      </c>
      <c r="AB123" s="2" t="s">
        <v>80</v>
      </c>
      <c r="AC123" s="1">
        <f t="shared" si="14"/>
        <v>0.01</v>
      </c>
      <c r="AD123" s="2" t="s">
        <v>149</v>
      </c>
      <c r="AE123" s="1">
        <f t="shared" si="15"/>
        <v>0.11</v>
      </c>
      <c r="AF123" s="2" t="s">
        <v>83</v>
      </c>
      <c r="AG123" s="1">
        <f t="shared" si="16"/>
        <v>0.59</v>
      </c>
      <c r="AH123" s="2" t="s">
        <v>732</v>
      </c>
      <c r="AI123" s="1">
        <f t="shared" si="17"/>
        <v>-0.38</v>
      </c>
      <c r="AJ123" s="2" t="s">
        <v>157</v>
      </c>
      <c r="AK123" s="1">
        <f t="shared" si="18"/>
        <v>0.56</v>
      </c>
      <c r="AL123" s="2" t="s">
        <v>282</v>
      </c>
      <c r="AM123" s="1">
        <f t="shared" si="19"/>
        <v>1.65</v>
      </c>
      <c r="AN123" s="1">
        <v>6.0</v>
      </c>
    </row>
    <row r="124">
      <c r="A124" s="1" t="s">
        <v>733</v>
      </c>
      <c r="B124" s="1" t="s">
        <v>143</v>
      </c>
      <c r="C124" s="2" t="s">
        <v>734</v>
      </c>
      <c r="D124" s="1">
        <f t="shared" si="1"/>
        <v>16.71</v>
      </c>
      <c r="E124" s="2" t="s">
        <v>249</v>
      </c>
      <c r="F124" s="1">
        <f t="shared" si="2"/>
        <v>0.92</v>
      </c>
      <c r="G124" s="1" t="str">
        <f t="shared" si="3"/>
        <v>Very High</v>
      </c>
      <c r="H124" s="2" t="s">
        <v>735</v>
      </c>
      <c r="I124" s="1">
        <f t="shared" si="4"/>
        <v>53589.9</v>
      </c>
      <c r="J124" s="2" t="s">
        <v>376</v>
      </c>
      <c r="K124" s="1">
        <f t="shared" si="5"/>
        <v>0.76</v>
      </c>
      <c r="L124" s="2" t="s">
        <v>191</v>
      </c>
      <c r="M124" s="1">
        <f t="shared" si="6"/>
        <v>0.58</v>
      </c>
      <c r="N124" s="2" t="s">
        <v>199</v>
      </c>
      <c r="O124" s="1">
        <f t="shared" si="7"/>
        <v>0.38</v>
      </c>
      <c r="P124" s="5">
        <v>46104.0</v>
      </c>
      <c r="Q124" s="1">
        <f t="shared" si="8"/>
        <v>3.23</v>
      </c>
      <c r="R124" s="2" t="s">
        <v>78</v>
      </c>
      <c r="S124" s="1">
        <f t="shared" si="9"/>
        <v>0.16</v>
      </c>
      <c r="T124" s="5">
        <v>46170.0</v>
      </c>
      <c r="U124" s="1">
        <f t="shared" si="10"/>
        <v>5.28</v>
      </c>
      <c r="V124" s="2" t="s">
        <v>123</v>
      </c>
      <c r="W124" s="1">
        <f t="shared" si="11"/>
        <v>0.45</v>
      </c>
      <c r="X124" s="2" t="s">
        <v>49</v>
      </c>
      <c r="Y124" s="1">
        <f t="shared" si="12"/>
        <v>0.04</v>
      </c>
      <c r="Z124" s="2" t="s">
        <v>41</v>
      </c>
      <c r="AA124" s="1">
        <f t="shared" si="13"/>
        <v>0.08</v>
      </c>
      <c r="AB124" s="2" t="s">
        <v>248</v>
      </c>
      <c r="AC124" s="1">
        <f t="shared" si="14"/>
        <v>0.43</v>
      </c>
      <c r="AD124" s="2" t="s">
        <v>79</v>
      </c>
      <c r="AE124" s="1">
        <f t="shared" si="15"/>
        <v>0.17</v>
      </c>
      <c r="AF124" s="5">
        <v>46039.0</v>
      </c>
      <c r="AG124" s="1">
        <f t="shared" si="16"/>
        <v>1.17</v>
      </c>
      <c r="AH124" s="2" t="s">
        <v>736</v>
      </c>
      <c r="AI124" s="1">
        <f t="shared" si="17"/>
        <v>-4.11</v>
      </c>
      <c r="AJ124" s="6">
        <v>46086.0</v>
      </c>
      <c r="AK124" s="1">
        <f t="shared" si="18"/>
        <v>3.05</v>
      </c>
      <c r="AL124" s="2" t="s">
        <v>337</v>
      </c>
      <c r="AM124" s="1">
        <f t="shared" si="19"/>
        <v>4.53</v>
      </c>
      <c r="AN124" s="1">
        <v>6.0</v>
      </c>
    </row>
    <row r="125">
      <c r="A125" s="1" t="s">
        <v>737</v>
      </c>
      <c r="B125" s="1" t="s">
        <v>134</v>
      </c>
      <c r="C125" s="2" t="s">
        <v>63</v>
      </c>
      <c r="D125" s="1">
        <f t="shared" si="1"/>
        <v>0.25</v>
      </c>
      <c r="F125" s="1" t="str">
        <f t="shared" si="2"/>
        <v/>
      </c>
      <c r="G125" s="1" t="str">
        <f t="shared" si="3"/>
        <v>Unknown</v>
      </c>
      <c r="I125" s="1" t="str">
        <f t="shared" si="4"/>
        <v/>
      </c>
      <c r="J125" s="2" t="s">
        <v>324</v>
      </c>
      <c r="K125" s="1">
        <f t="shared" si="5"/>
        <v>0.68</v>
      </c>
      <c r="L125" s="2" t="s">
        <v>275</v>
      </c>
      <c r="M125" s="1">
        <f t="shared" si="6"/>
        <v>0.62</v>
      </c>
      <c r="N125" s="2" t="s">
        <v>42</v>
      </c>
      <c r="O125" s="1">
        <f t="shared" si="7"/>
        <v>0.18</v>
      </c>
      <c r="P125" s="2" t="s">
        <v>387</v>
      </c>
      <c r="Q125" s="1">
        <f t="shared" si="8"/>
        <v>1.78</v>
      </c>
      <c r="R125" s="2" t="s">
        <v>310</v>
      </c>
      <c r="S125" s="1">
        <f t="shared" si="9"/>
        <v>0.32</v>
      </c>
      <c r="T125" s="2" t="s">
        <v>738</v>
      </c>
      <c r="U125" s="1">
        <f t="shared" si="10"/>
        <v>3.58</v>
      </c>
      <c r="V125" s="2" t="s">
        <v>68</v>
      </c>
      <c r="W125" s="1">
        <f t="shared" si="11"/>
        <v>0.07</v>
      </c>
      <c r="X125" s="2" t="s">
        <v>285</v>
      </c>
      <c r="Y125" s="1">
        <f t="shared" si="12"/>
        <v>0.31</v>
      </c>
      <c r="Z125" s="2" t="s">
        <v>608</v>
      </c>
      <c r="AA125" s="1">
        <f t="shared" si="13"/>
        <v>1.94</v>
      </c>
      <c r="AB125" s="2" t="s">
        <v>739</v>
      </c>
      <c r="AC125" s="1">
        <f t="shared" si="14"/>
        <v>5.35</v>
      </c>
      <c r="AD125" s="2">
        <v>0.0</v>
      </c>
      <c r="AE125" s="1">
        <f t="shared" si="15"/>
        <v>0</v>
      </c>
      <c r="AF125" s="2" t="s">
        <v>740</v>
      </c>
      <c r="AG125" s="1">
        <f t="shared" si="16"/>
        <v>7.67</v>
      </c>
      <c r="AH125" s="6">
        <v>46121.0</v>
      </c>
      <c r="AI125" s="1">
        <f t="shared" si="17"/>
        <v>4.09</v>
      </c>
      <c r="AJ125" s="6">
        <v>46060.0</v>
      </c>
      <c r="AK125" s="1">
        <f t="shared" si="18"/>
        <v>2.07</v>
      </c>
      <c r="AL125" s="2" t="s">
        <v>300</v>
      </c>
      <c r="AM125" s="1">
        <f t="shared" si="19"/>
        <v>0.47</v>
      </c>
      <c r="AN125" s="1" t="s">
        <v>164</v>
      </c>
    </row>
    <row r="126">
      <c r="A126" s="1" t="s">
        <v>741</v>
      </c>
      <c r="B126" s="1" t="s">
        <v>134</v>
      </c>
      <c r="C126" s="2" t="s">
        <v>179</v>
      </c>
      <c r="D126" s="1">
        <f t="shared" si="1"/>
        <v>4.46</v>
      </c>
      <c r="E126" s="2" t="s">
        <v>215</v>
      </c>
      <c r="F126" s="1">
        <f t="shared" si="2"/>
        <v>0.91</v>
      </c>
      <c r="G126" s="1" t="str">
        <f t="shared" si="3"/>
        <v>Very High</v>
      </c>
      <c r="H126" s="2" t="s">
        <v>742</v>
      </c>
      <c r="I126" s="1">
        <f t="shared" si="4"/>
        <v>37488.3</v>
      </c>
      <c r="J126" s="2" t="s">
        <v>147</v>
      </c>
      <c r="K126" s="1">
        <f t="shared" si="5"/>
        <v>0.63</v>
      </c>
      <c r="L126" s="2" t="s">
        <v>365</v>
      </c>
      <c r="M126" s="1">
        <f t="shared" si="6"/>
        <v>0.23</v>
      </c>
      <c r="N126" s="6">
        <v>46030.0</v>
      </c>
      <c r="O126" s="1">
        <f t="shared" si="7"/>
        <v>1.08</v>
      </c>
      <c r="P126" s="2" t="s">
        <v>380</v>
      </c>
      <c r="Q126" s="1">
        <f t="shared" si="8"/>
        <v>2.84</v>
      </c>
      <c r="R126" s="2" t="s">
        <v>305</v>
      </c>
      <c r="S126" s="1">
        <f t="shared" si="9"/>
        <v>0.7</v>
      </c>
      <c r="T126" s="5">
        <v>46148.0</v>
      </c>
      <c r="U126" s="1">
        <f t="shared" si="10"/>
        <v>5.6</v>
      </c>
      <c r="V126" s="2" t="s">
        <v>233</v>
      </c>
      <c r="W126" s="1">
        <f t="shared" si="11"/>
        <v>0.51</v>
      </c>
      <c r="X126" s="5">
        <v>46060.0</v>
      </c>
      <c r="Y126" s="1">
        <f t="shared" si="12"/>
        <v>2.7</v>
      </c>
      <c r="Z126" s="2" t="s">
        <v>743</v>
      </c>
      <c r="AA126" s="1">
        <f t="shared" si="13"/>
        <v>5.95</v>
      </c>
      <c r="AB126" s="2" t="s">
        <v>412</v>
      </c>
      <c r="AC126" s="1">
        <f t="shared" si="14"/>
        <v>0.86</v>
      </c>
      <c r="AD126" s="2" t="s">
        <v>240</v>
      </c>
      <c r="AE126" s="1">
        <f t="shared" si="15"/>
        <v>0.13</v>
      </c>
      <c r="AF126" s="5">
        <v>46309.0</v>
      </c>
      <c r="AG126" s="1">
        <f t="shared" si="16"/>
        <v>10.14</v>
      </c>
      <c r="AH126" s="2" t="s">
        <v>744</v>
      </c>
      <c r="AI126" s="1">
        <f t="shared" si="17"/>
        <v>4.54</v>
      </c>
      <c r="AJ126" s="5">
        <v>46104.0</v>
      </c>
      <c r="AK126" s="1">
        <f t="shared" si="18"/>
        <v>3.23</v>
      </c>
      <c r="AL126" s="2" t="s">
        <v>65</v>
      </c>
      <c r="AM126" s="1">
        <f t="shared" si="19"/>
        <v>0.55</v>
      </c>
      <c r="AN126" s="1" t="s">
        <v>124</v>
      </c>
    </row>
    <row r="127">
      <c r="A127" s="1" t="s">
        <v>745</v>
      </c>
      <c r="B127" s="1" t="s">
        <v>103</v>
      </c>
      <c r="C127" s="2" t="s">
        <v>746</v>
      </c>
      <c r="D127" s="1">
        <f t="shared" si="1"/>
        <v>5.99</v>
      </c>
      <c r="E127" s="2" t="s">
        <v>147</v>
      </c>
      <c r="F127" s="1">
        <f t="shared" si="2"/>
        <v>0.63</v>
      </c>
      <c r="G127" s="1" t="str">
        <f t="shared" si="3"/>
        <v>Medium</v>
      </c>
      <c r="H127" s="2" t="s">
        <v>747</v>
      </c>
      <c r="I127" s="1">
        <f t="shared" si="4"/>
        <v>1626.85</v>
      </c>
      <c r="J127" s="2" t="s">
        <v>130</v>
      </c>
      <c r="K127" s="1">
        <f t="shared" si="5"/>
        <v>0.34</v>
      </c>
      <c r="L127" s="2" t="s">
        <v>92</v>
      </c>
      <c r="M127" s="1">
        <f t="shared" si="6"/>
        <v>0.12</v>
      </c>
      <c r="N127" s="2" t="s">
        <v>201</v>
      </c>
      <c r="O127" s="1">
        <f t="shared" si="7"/>
        <v>0.42</v>
      </c>
      <c r="P127" s="2" t="s">
        <v>123</v>
      </c>
      <c r="Q127" s="1">
        <f t="shared" si="8"/>
        <v>0.45</v>
      </c>
      <c r="R127" s="2" t="s">
        <v>82</v>
      </c>
      <c r="S127" s="1">
        <f t="shared" si="9"/>
        <v>0.03</v>
      </c>
      <c r="T127" s="2" t="s">
        <v>748</v>
      </c>
      <c r="U127" s="1">
        <f t="shared" si="10"/>
        <v>1.39</v>
      </c>
      <c r="V127" s="2" t="s">
        <v>378</v>
      </c>
      <c r="W127" s="1">
        <f t="shared" si="11"/>
        <v>0.4</v>
      </c>
      <c r="X127" s="2" t="s">
        <v>191</v>
      </c>
      <c r="Y127" s="1">
        <f t="shared" si="12"/>
        <v>0.58</v>
      </c>
      <c r="Z127" s="2" t="s">
        <v>128</v>
      </c>
      <c r="AA127" s="1">
        <f t="shared" si="13"/>
        <v>0.74</v>
      </c>
      <c r="AB127" s="2" t="s">
        <v>231</v>
      </c>
      <c r="AC127" s="1">
        <f t="shared" si="14"/>
        <v>0.49</v>
      </c>
      <c r="AD127" s="2" t="s">
        <v>181</v>
      </c>
      <c r="AE127" s="1">
        <f t="shared" si="15"/>
        <v>0.05</v>
      </c>
      <c r="AF127" s="5">
        <v>46078.0</v>
      </c>
      <c r="AG127" s="1">
        <f t="shared" si="16"/>
        <v>2.25</v>
      </c>
      <c r="AH127" s="2" t="s">
        <v>64</v>
      </c>
      <c r="AI127" s="1">
        <f t="shared" si="17"/>
        <v>0.87</v>
      </c>
      <c r="AJ127" s="2" t="s">
        <v>213</v>
      </c>
      <c r="AK127" s="1">
        <f t="shared" si="18"/>
        <v>0.8</v>
      </c>
      <c r="AL127" s="2" t="s">
        <v>275</v>
      </c>
      <c r="AM127" s="1">
        <f t="shared" si="19"/>
        <v>0.62</v>
      </c>
      <c r="AN127" s="1">
        <v>5.0</v>
      </c>
    </row>
    <row r="128">
      <c r="A128" s="1" t="s">
        <v>749</v>
      </c>
      <c r="B128" s="1" t="s">
        <v>73</v>
      </c>
      <c r="C128" s="2" t="s">
        <v>750</v>
      </c>
      <c r="D128" s="1">
        <f t="shared" si="1"/>
        <v>17.16</v>
      </c>
      <c r="E128" s="2" t="s">
        <v>130</v>
      </c>
      <c r="F128" s="1">
        <f t="shared" si="2"/>
        <v>0.34</v>
      </c>
      <c r="G128" s="1" t="str">
        <f t="shared" si="3"/>
        <v>Low</v>
      </c>
      <c r="H128" s="2" t="s">
        <v>751</v>
      </c>
      <c r="I128" s="1">
        <f t="shared" si="4"/>
        <v>410.91</v>
      </c>
      <c r="J128" s="2" t="s">
        <v>254</v>
      </c>
      <c r="K128" s="1">
        <f t="shared" si="5"/>
        <v>0.67</v>
      </c>
      <c r="L128" s="2" t="s">
        <v>224</v>
      </c>
      <c r="M128" s="1">
        <f t="shared" si="6"/>
        <v>0.48</v>
      </c>
      <c r="N128" s="2" t="s">
        <v>97</v>
      </c>
      <c r="O128" s="1">
        <f t="shared" si="7"/>
        <v>0.26</v>
      </c>
      <c r="P128" s="2" t="s">
        <v>114</v>
      </c>
      <c r="Q128" s="1">
        <f t="shared" si="8"/>
        <v>0.1</v>
      </c>
      <c r="R128" s="2" t="s">
        <v>48</v>
      </c>
      <c r="S128" s="1">
        <f t="shared" si="9"/>
        <v>0.02</v>
      </c>
      <c r="T128" s="2" t="s">
        <v>752</v>
      </c>
      <c r="U128" s="1">
        <f t="shared" si="10"/>
        <v>1.56</v>
      </c>
      <c r="V128" s="2" t="s">
        <v>250</v>
      </c>
      <c r="W128" s="1">
        <f t="shared" si="11"/>
        <v>0.65</v>
      </c>
      <c r="X128" s="2" t="s">
        <v>233</v>
      </c>
      <c r="Y128" s="1">
        <f t="shared" si="12"/>
        <v>0.51</v>
      </c>
      <c r="Z128" s="2" t="s">
        <v>181</v>
      </c>
      <c r="AA128" s="1">
        <f t="shared" si="13"/>
        <v>0.05</v>
      </c>
      <c r="AB128" s="2">
        <v>0.0</v>
      </c>
      <c r="AC128" s="1">
        <f t="shared" si="14"/>
        <v>0</v>
      </c>
      <c r="AD128" s="2" t="s">
        <v>82</v>
      </c>
      <c r="AE128" s="1">
        <f t="shared" si="15"/>
        <v>0.03</v>
      </c>
      <c r="AF128" s="5">
        <v>46046.0</v>
      </c>
      <c r="AG128" s="1">
        <f t="shared" si="16"/>
        <v>1.24</v>
      </c>
      <c r="AH128" s="2" t="s">
        <v>554</v>
      </c>
      <c r="AI128" s="1">
        <f t="shared" si="17"/>
        <v>-0.32</v>
      </c>
      <c r="AJ128" s="2" t="s">
        <v>438</v>
      </c>
      <c r="AK128" s="1">
        <f t="shared" si="18"/>
        <v>0.9</v>
      </c>
      <c r="AL128" s="5">
        <v>46048.0</v>
      </c>
      <c r="AM128" s="1">
        <f t="shared" si="19"/>
        <v>1.26</v>
      </c>
      <c r="AN128" s="1">
        <v>5.0</v>
      </c>
    </row>
    <row r="129">
      <c r="A129" s="1" t="s">
        <v>753</v>
      </c>
      <c r="B129" s="1" t="s">
        <v>73</v>
      </c>
      <c r="C129" s="2" t="s">
        <v>754</v>
      </c>
      <c r="D129" s="1">
        <f t="shared" si="1"/>
        <v>168.83</v>
      </c>
      <c r="E129" s="2" t="s">
        <v>51</v>
      </c>
      <c r="F129" s="1">
        <f t="shared" si="2"/>
        <v>0.5</v>
      </c>
      <c r="G129" s="1" t="str">
        <f t="shared" si="3"/>
        <v>Low</v>
      </c>
      <c r="H129" s="2" t="s">
        <v>755</v>
      </c>
      <c r="I129" s="1">
        <f t="shared" si="4"/>
        <v>2612.12</v>
      </c>
      <c r="J129" s="2" t="s">
        <v>465</v>
      </c>
      <c r="K129" s="1">
        <f t="shared" si="5"/>
        <v>0.53</v>
      </c>
      <c r="L129" s="2" t="s">
        <v>114</v>
      </c>
      <c r="M129" s="1">
        <f t="shared" si="6"/>
        <v>0.1</v>
      </c>
      <c r="N129" s="2" t="s">
        <v>178</v>
      </c>
      <c r="O129" s="1">
        <f t="shared" si="7"/>
        <v>0.19</v>
      </c>
      <c r="P129" s="2" t="s">
        <v>66</v>
      </c>
      <c r="Q129" s="1">
        <f t="shared" si="8"/>
        <v>0.21</v>
      </c>
      <c r="R129" s="2" t="s">
        <v>41</v>
      </c>
      <c r="S129" s="1">
        <f t="shared" si="9"/>
        <v>0.08</v>
      </c>
      <c r="T129" s="5">
        <v>46038.0</v>
      </c>
      <c r="U129" s="1">
        <f t="shared" si="10"/>
        <v>1.16</v>
      </c>
      <c r="V129" s="2" t="s">
        <v>51</v>
      </c>
      <c r="W129" s="1">
        <f t="shared" si="11"/>
        <v>0.5</v>
      </c>
      <c r="X129" s="2" t="s">
        <v>92</v>
      </c>
      <c r="Y129" s="1">
        <f t="shared" si="12"/>
        <v>0.12</v>
      </c>
      <c r="Z129" s="2" t="s">
        <v>48</v>
      </c>
      <c r="AA129" s="1">
        <f t="shared" si="13"/>
        <v>0.02</v>
      </c>
      <c r="AB129" s="2" t="s">
        <v>48</v>
      </c>
      <c r="AC129" s="1">
        <f t="shared" si="14"/>
        <v>0.02</v>
      </c>
      <c r="AD129" s="2" t="s">
        <v>181</v>
      </c>
      <c r="AE129" s="1">
        <f t="shared" si="15"/>
        <v>0.05</v>
      </c>
      <c r="AF129" s="2" t="s">
        <v>305</v>
      </c>
      <c r="AG129" s="1">
        <f t="shared" si="16"/>
        <v>0.7</v>
      </c>
      <c r="AH129" s="2" t="s">
        <v>756</v>
      </c>
      <c r="AI129" s="1">
        <f t="shared" si="17"/>
        <v>-0.47</v>
      </c>
      <c r="AJ129" s="2" t="s">
        <v>254</v>
      </c>
      <c r="AK129" s="1">
        <f t="shared" si="18"/>
        <v>0.67</v>
      </c>
      <c r="AL129" s="2" t="s">
        <v>119</v>
      </c>
      <c r="AM129" s="1">
        <f t="shared" si="19"/>
        <v>1.67</v>
      </c>
      <c r="AN129" s="1">
        <v>5.0</v>
      </c>
    </row>
    <row r="130">
      <c r="A130" s="1" t="s">
        <v>757</v>
      </c>
      <c r="B130" s="1" t="s">
        <v>58</v>
      </c>
      <c r="C130" s="2" t="s">
        <v>758</v>
      </c>
      <c r="D130" s="1">
        <f t="shared" si="1"/>
        <v>4.99</v>
      </c>
      <c r="E130" s="2" t="s">
        <v>107</v>
      </c>
      <c r="F130" s="1">
        <f t="shared" si="2"/>
        <v>0.94</v>
      </c>
      <c r="G130" s="1" t="str">
        <f t="shared" si="3"/>
        <v>Very High</v>
      </c>
      <c r="H130" s="2" t="s">
        <v>759</v>
      </c>
      <c r="I130" s="1">
        <f t="shared" si="4"/>
        <v>100172</v>
      </c>
      <c r="K130" s="1" t="str">
        <f t="shared" si="5"/>
        <v/>
      </c>
      <c r="M130" s="1" t="str">
        <f t="shared" si="6"/>
        <v/>
      </c>
      <c r="O130" s="1" t="str">
        <f t="shared" si="7"/>
        <v/>
      </c>
      <c r="Q130" s="1" t="str">
        <f t="shared" si="8"/>
        <v/>
      </c>
      <c r="S130" s="1" t="str">
        <f t="shared" si="9"/>
        <v/>
      </c>
      <c r="T130" s="2" t="s">
        <v>760</v>
      </c>
      <c r="U130" s="1">
        <f t="shared" si="10"/>
        <v>4.98</v>
      </c>
      <c r="W130" s="1" t="str">
        <f t="shared" si="11"/>
        <v/>
      </c>
      <c r="Y130" s="1" t="str">
        <f t="shared" si="12"/>
        <v/>
      </c>
      <c r="AA130" s="1" t="str">
        <f t="shared" si="13"/>
        <v/>
      </c>
      <c r="AC130" s="1" t="str">
        <f t="shared" si="14"/>
        <v/>
      </c>
      <c r="AE130" s="1" t="str">
        <f t="shared" si="15"/>
        <v/>
      </c>
      <c r="AF130" s="5">
        <v>46252.0</v>
      </c>
      <c r="AG130" s="1">
        <f t="shared" si="16"/>
        <v>8.18</v>
      </c>
      <c r="AH130" s="5">
        <v>46100.0</v>
      </c>
      <c r="AI130" s="1">
        <f t="shared" si="17"/>
        <v>3.19</v>
      </c>
      <c r="AJ130" s="2" t="s">
        <v>761</v>
      </c>
      <c r="AK130" s="1">
        <f t="shared" si="18"/>
        <v>2.88</v>
      </c>
      <c r="AL130" s="2" t="s">
        <v>348</v>
      </c>
      <c r="AM130" s="1">
        <f t="shared" si="19"/>
        <v>0.61</v>
      </c>
      <c r="AN130" s="1">
        <v>4.0</v>
      </c>
    </row>
    <row r="131">
      <c r="A131" s="1" t="s">
        <v>762</v>
      </c>
      <c r="B131" s="1" t="s">
        <v>33</v>
      </c>
      <c r="C131" s="5">
        <v>46112.0</v>
      </c>
      <c r="D131" s="1">
        <f t="shared" si="1"/>
        <v>3.31</v>
      </c>
      <c r="E131" s="2" t="s">
        <v>44</v>
      </c>
      <c r="F131" s="1">
        <f t="shared" si="2"/>
        <v>0.79</v>
      </c>
      <c r="G131" s="1" t="str">
        <f t="shared" si="3"/>
        <v>High</v>
      </c>
      <c r="H131" s="2" t="s">
        <v>763</v>
      </c>
      <c r="I131" s="1">
        <f t="shared" si="4"/>
        <v>22622.8</v>
      </c>
      <c r="J131" s="2" t="s">
        <v>138</v>
      </c>
      <c r="K131" s="1">
        <f t="shared" si="5"/>
        <v>0.57</v>
      </c>
      <c r="L131" s="2" t="s">
        <v>378</v>
      </c>
      <c r="M131" s="1">
        <f t="shared" si="6"/>
        <v>0.4</v>
      </c>
      <c r="N131" s="2" t="s">
        <v>91</v>
      </c>
      <c r="O131" s="1">
        <f t="shared" si="7"/>
        <v>0.15</v>
      </c>
      <c r="P131" s="5">
        <v>46150.0</v>
      </c>
      <c r="Q131" s="1">
        <f t="shared" si="8"/>
        <v>5.8</v>
      </c>
      <c r="R131" s="2" t="s">
        <v>378</v>
      </c>
      <c r="S131" s="1">
        <f t="shared" si="9"/>
        <v>0.4</v>
      </c>
      <c r="T131" s="2" t="s">
        <v>764</v>
      </c>
      <c r="U131" s="1">
        <f t="shared" si="10"/>
        <v>7.52</v>
      </c>
      <c r="V131" s="2" t="s">
        <v>68</v>
      </c>
      <c r="W131" s="1">
        <f t="shared" si="11"/>
        <v>0.07</v>
      </c>
      <c r="X131" s="2" t="s">
        <v>49</v>
      </c>
      <c r="Y131" s="1">
        <f t="shared" si="12"/>
        <v>0.04</v>
      </c>
      <c r="Z131" s="2">
        <v>0.0</v>
      </c>
      <c r="AA131" s="1">
        <f t="shared" si="13"/>
        <v>0</v>
      </c>
      <c r="AB131" s="2" t="s">
        <v>99</v>
      </c>
      <c r="AC131" s="1">
        <f t="shared" si="14"/>
        <v>1.61</v>
      </c>
      <c r="AD131" s="2" t="s">
        <v>178</v>
      </c>
      <c r="AE131" s="1">
        <f t="shared" si="15"/>
        <v>0.19</v>
      </c>
      <c r="AF131" s="2" t="s">
        <v>202</v>
      </c>
      <c r="AG131" s="1">
        <f t="shared" si="16"/>
        <v>1.92</v>
      </c>
      <c r="AH131" s="2" t="s">
        <v>765</v>
      </c>
      <c r="AI131" s="1">
        <f t="shared" si="17"/>
        <v>-5.6</v>
      </c>
      <c r="AJ131" s="2" t="s">
        <v>368</v>
      </c>
      <c r="AK131" s="1">
        <f t="shared" si="18"/>
        <v>4.34</v>
      </c>
      <c r="AL131" s="2" t="s">
        <v>766</v>
      </c>
      <c r="AM131" s="1">
        <f t="shared" si="19"/>
        <v>3.93</v>
      </c>
      <c r="AN131" s="1" t="s">
        <v>124</v>
      </c>
    </row>
    <row r="132">
      <c r="A132" s="1" t="s">
        <v>767</v>
      </c>
      <c r="B132" s="1" t="s">
        <v>134</v>
      </c>
      <c r="C132" s="2" t="s">
        <v>768</v>
      </c>
      <c r="D132" s="1">
        <f t="shared" si="1"/>
        <v>179.16</v>
      </c>
      <c r="E132" s="2" t="s">
        <v>465</v>
      </c>
      <c r="F132" s="1">
        <f t="shared" si="2"/>
        <v>0.53</v>
      </c>
      <c r="G132" s="1" t="str">
        <f t="shared" si="3"/>
        <v>Low</v>
      </c>
      <c r="H132" s="2" t="s">
        <v>769</v>
      </c>
      <c r="I132" s="1">
        <f t="shared" si="4"/>
        <v>1218.6</v>
      </c>
      <c r="J132" s="2" t="s">
        <v>81</v>
      </c>
      <c r="K132" s="1">
        <f t="shared" si="5"/>
        <v>0.27</v>
      </c>
      <c r="L132" s="2" t="s">
        <v>80</v>
      </c>
      <c r="M132" s="1">
        <f t="shared" si="6"/>
        <v>0.01</v>
      </c>
      <c r="N132" s="2" t="s">
        <v>41</v>
      </c>
      <c r="O132" s="1">
        <f t="shared" si="7"/>
        <v>0.08</v>
      </c>
      <c r="P132" s="2" t="s">
        <v>199</v>
      </c>
      <c r="Q132" s="1">
        <f t="shared" si="8"/>
        <v>0.38</v>
      </c>
      <c r="R132" s="2" t="s">
        <v>48</v>
      </c>
      <c r="S132" s="1">
        <f t="shared" si="9"/>
        <v>0.02</v>
      </c>
      <c r="T132" s="2" t="s">
        <v>44</v>
      </c>
      <c r="U132" s="1">
        <f t="shared" si="10"/>
        <v>0.79</v>
      </c>
      <c r="V132" s="2" t="s">
        <v>97</v>
      </c>
      <c r="W132" s="1">
        <f t="shared" si="11"/>
        <v>0.26</v>
      </c>
      <c r="X132" s="2">
        <v>0.0</v>
      </c>
      <c r="Y132" s="1">
        <f t="shared" si="12"/>
        <v>0</v>
      </c>
      <c r="Z132" s="2" t="s">
        <v>80</v>
      </c>
      <c r="AA132" s="1">
        <f t="shared" si="13"/>
        <v>0.01</v>
      </c>
      <c r="AB132" s="2" t="s">
        <v>49</v>
      </c>
      <c r="AC132" s="1">
        <f t="shared" si="14"/>
        <v>0.04</v>
      </c>
      <c r="AD132" s="2" t="s">
        <v>82</v>
      </c>
      <c r="AE132" s="1">
        <f t="shared" si="15"/>
        <v>0.03</v>
      </c>
      <c r="AF132" s="2" t="s">
        <v>293</v>
      </c>
      <c r="AG132" s="1">
        <f t="shared" si="16"/>
        <v>0.35</v>
      </c>
      <c r="AH132" s="2" t="s">
        <v>449</v>
      </c>
      <c r="AI132" s="1">
        <f t="shared" si="17"/>
        <v>-0.44</v>
      </c>
      <c r="AJ132" s="2" t="s">
        <v>36</v>
      </c>
      <c r="AK132" s="1">
        <f t="shared" si="18"/>
        <v>0.46</v>
      </c>
      <c r="AL132" s="5">
        <v>46081.0</v>
      </c>
      <c r="AM132" s="1">
        <f t="shared" si="19"/>
        <v>2.28</v>
      </c>
      <c r="AN132" s="1">
        <v>6.0</v>
      </c>
    </row>
    <row r="133">
      <c r="A133" s="1" t="s">
        <v>770</v>
      </c>
      <c r="B133" s="1" t="s">
        <v>103</v>
      </c>
      <c r="C133" s="5">
        <v>46089.0</v>
      </c>
      <c r="D133" s="1">
        <f t="shared" si="1"/>
        <v>3.8</v>
      </c>
      <c r="E133" s="2" t="s">
        <v>394</v>
      </c>
      <c r="F133" s="1">
        <f t="shared" si="2"/>
        <v>0.77</v>
      </c>
      <c r="G133" s="1" t="str">
        <f t="shared" si="3"/>
        <v>High</v>
      </c>
      <c r="H133" s="2" t="s">
        <v>771</v>
      </c>
      <c r="I133" s="1">
        <f t="shared" si="4"/>
        <v>8410.77</v>
      </c>
      <c r="J133" s="2" t="s">
        <v>302</v>
      </c>
      <c r="K133" s="1">
        <f t="shared" si="5"/>
        <v>0.36</v>
      </c>
      <c r="L133" s="2" t="s">
        <v>378</v>
      </c>
      <c r="M133" s="1">
        <f t="shared" si="6"/>
        <v>0.4</v>
      </c>
      <c r="N133" s="2" t="s">
        <v>178</v>
      </c>
      <c r="O133" s="1">
        <f t="shared" si="7"/>
        <v>0.19</v>
      </c>
      <c r="P133" s="2" t="s">
        <v>772</v>
      </c>
      <c r="Q133" s="1">
        <f t="shared" si="8"/>
        <v>1.44</v>
      </c>
      <c r="R133" s="2" t="s">
        <v>101</v>
      </c>
      <c r="S133" s="1">
        <f t="shared" si="9"/>
        <v>0.37</v>
      </c>
      <c r="T133" s="2" t="s">
        <v>558</v>
      </c>
      <c r="U133" s="1">
        <f t="shared" si="10"/>
        <v>2.79</v>
      </c>
      <c r="V133" s="2" t="s">
        <v>154</v>
      </c>
      <c r="W133" s="1">
        <f t="shared" si="11"/>
        <v>0.14</v>
      </c>
      <c r="X133" s="2" t="s">
        <v>248</v>
      </c>
      <c r="Y133" s="1">
        <f t="shared" si="12"/>
        <v>0.43</v>
      </c>
      <c r="Z133" s="2" t="s">
        <v>262</v>
      </c>
      <c r="AA133" s="1">
        <f t="shared" si="13"/>
        <v>1.74</v>
      </c>
      <c r="AB133" s="2" t="s">
        <v>77</v>
      </c>
      <c r="AC133" s="1">
        <f t="shared" si="14"/>
        <v>0.6</v>
      </c>
      <c r="AD133" s="2" t="s">
        <v>48</v>
      </c>
      <c r="AE133" s="1">
        <f t="shared" si="15"/>
        <v>0.02</v>
      </c>
      <c r="AF133" s="2" t="s">
        <v>222</v>
      </c>
      <c r="AG133" s="1">
        <f t="shared" si="16"/>
        <v>2.94</v>
      </c>
      <c r="AH133" s="2" t="s">
        <v>91</v>
      </c>
      <c r="AI133" s="1">
        <f t="shared" si="17"/>
        <v>0.15</v>
      </c>
      <c r="AJ133" s="2" t="s">
        <v>99</v>
      </c>
      <c r="AK133" s="1">
        <f t="shared" si="18"/>
        <v>1.61</v>
      </c>
      <c r="AL133" s="2" t="s">
        <v>540</v>
      </c>
      <c r="AM133" s="1">
        <f t="shared" si="19"/>
        <v>0.95</v>
      </c>
      <c r="AN133" s="1" t="s">
        <v>124</v>
      </c>
    </row>
    <row r="134">
      <c r="A134" s="1" t="s">
        <v>773</v>
      </c>
      <c r="B134" s="1" t="s">
        <v>134</v>
      </c>
      <c r="C134" s="5">
        <v>46220.0</v>
      </c>
      <c r="D134" s="1">
        <f t="shared" si="1"/>
        <v>7.17</v>
      </c>
      <c r="E134" s="2" t="s">
        <v>51</v>
      </c>
      <c r="F134" s="1">
        <f t="shared" si="2"/>
        <v>0.5</v>
      </c>
      <c r="G134" s="1" t="str">
        <f t="shared" si="3"/>
        <v>Low</v>
      </c>
      <c r="H134" s="2" t="s">
        <v>774</v>
      </c>
      <c r="I134" s="1">
        <f t="shared" si="4"/>
        <v>1871.21</v>
      </c>
      <c r="J134" s="2" t="s">
        <v>38</v>
      </c>
      <c r="K134" s="1">
        <f t="shared" si="5"/>
        <v>0.3</v>
      </c>
      <c r="L134" s="2" t="s">
        <v>181</v>
      </c>
      <c r="M134" s="1">
        <f t="shared" si="6"/>
        <v>0.05</v>
      </c>
      <c r="N134" s="2" t="s">
        <v>302</v>
      </c>
      <c r="O134" s="1">
        <f t="shared" si="7"/>
        <v>0.36</v>
      </c>
      <c r="P134" s="2" t="s">
        <v>293</v>
      </c>
      <c r="Q134" s="1">
        <f t="shared" si="8"/>
        <v>0.35</v>
      </c>
      <c r="R134" s="2" t="s">
        <v>59</v>
      </c>
      <c r="S134" s="1">
        <f t="shared" si="9"/>
        <v>0.73</v>
      </c>
      <c r="T134" s="2" t="s">
        <v>266</v>
      </c>
      <c r="U134" s="1">
        <f t="shared" si="10"/>
        <v>1.91</v>
      </c>
      <c r="V134" s="2" t="s">
        <v>302</v>
      </c>
      <c r="W134" s="1">
        <f t="shared" si="11"/>
        <v>0.36</v>
      </c>
      <c r="X134" s="2" t="s">
        <v>49</v>
      </c>
      <c r="Y134" s="1">
        <f t="shared" si="12"/>
        <v>0.04</v>
      </c>
      <c r="Z134" s="2" t="s">
        <v>584</v>
      </c>
      <c r="AA134" s="1">
        <f t="shared" si="13"/>
        <v>2.66</v>
      </c>
      <c r="AB134" s="2" t="s">
        <v>59</v>
      </c>
      <c r="AC134" s="1">
        <f t="shared" si="14"/>
        <v>0.73</v>
      </c>
      <c r="AD134" s="2" t="s">
        <v>240</v>
      </c>
      <c r="AE134" s="1">
        <f t="shared" si="15"/>
        <v>0.13</v>
      </c>
      <c r="AF134" s="2" t="s">
        <v>390</v>
      </c>
      <c r="AG134" s="1">
        <f t="shared" si="16"/>
        <v>3.92</v>
      </c>
      <c r="AH134" s="6">
        <v>46054.0</v>
      </c>
      <c r="AI134" s="1">
        <f t="shared" si="17"/>
        <v>2.01</v>
      </c>
      <c r="AJ134" s="5">
        <v>46023.0</v>
      </c>
      <c r="AK134" s="1">
        <f t="shared" si="18"/>
        <v>1.1</v>
      </c>
      <c r="AL134" s="2" t="s">
        <v>231</v>
      </c>
      <c r="AM134" s="1">
        <f t="shared" si="19"/>
        <v>0.49</v>
      </c>
      <c r="AN134" s="1" t="s">
        <v>124</v>
      </c>
    </row>
    <row r="135">
      <c r="A135" s="1" t="s">
        <v>775</v>
      </c>
      <c r="B135" s="1" t="s">
        <v>103</v>
      </c>
      <c r="C135" s="2" t="s">
        <v>776</v>
      </c>
      <c r="D135" s="1">
        <f t="shared" si="1"/>
        <v>6.69</v>
      </c>
      <c r="E135" s="2" t="s">
        <v>254</v>
      </c>
      <c r="F135" s="1">
        <f t="shared" si="2"/>
        <v>0.67</v>
      </c>
      <c r="G135" s="1" t="str">
        <f t="shared" si="3"/>
        <v>Medium</v>
      </c>
      <c r="H135" s="2" t="s">
        <v>777</v>
      </c>
      <c r="I135" s="1">
        <f t="shared" si="4"/>
        <v>3557.31</v>
      </c>
      <c r="J135" s="5">
        <v>46033.0</v>
      </c>
      <c r="K135" s="1">
        <f t="shared" si="5"/>
        <v>1.11</v>
      </c>
      <c r="L135" s="5">
        <v>46023.0</v>
      </c>
      <c r="M135" s="1">
        <f t="shared" si="6"/>
        <v>1.1</v>
      </c>
      <c r="N135" s="2" t="s">
        <v>111</v>
      </c>
      <c r="O135" s="1">
        <f t="shared" si="7"/>
        <v>0.83</v>
      </c>
      <c r="P135" s="2" t="s">
        <v>177</v>
      </c>
      <c r="Q135" s="1">
        <f t="shared" si="8"/>
        <v>0.97</v>
      </c>
      <c r="R135" s="2" t="s">
        <v>80</v>
      </c>
      <c r="S135" s="1">
        <f t="shared" si="9"/>
        <v>0.01</v>
      </c>
      <c r="T135" s="5">
        <v>46128.0</v>
      </c>
      <c r="U135" s="1">
        <f t="shared" si="10"/>
        <v>4.16</v>
      </c>
      <c r="V135" s="2" t="s">
        <v>778</v>
      </c>
      <c r="W135" s="1">
        <f t="shared" si="11"/>
        <v>2.51</v>
      </c>
      <c r="X135" s="5">
        <v>46081.0</v>
      </c>
      <c r="Y135" s="1">
        <f t="shared" si="12"/>
        <v>2.28</v>
      </c>
      <c r="Z135" s="2" t="s">
        <v>779</v>
      </c>
      <c r="AA135" s="1">
        <f t="shared" si="13"/>
        <v>5.54</v>
      </c>
      <c r="AB135" s="2" t="s">
        <v>181</v>
      </c>
      <c r="AC135" s="1">
        <f t="shared" si="14"/>
        <v>0.05</v>
      </c>
      <c r="AD135" s="2" t="s">
        <v>154</v>
      </c>
      <c r="AE135" s="1">
        <f t="shared" si="15"/>
        <v>0.14</v>
      </c>
      <c r="AF135" s="2" t="s">
        <v>780</v>
      </c>
      <c r="AG135" s="1">
        <f t="shared" si="16"/>
        <v>10.52</v>
      </c>
      <c r="AH135" s="2" t="s">
        <v>781</v>
      </c>
      <c r="AI135" s="1">
        <f t="shared" si="17"/>
        <v>6.36</v>
      </c>
      <c r="AJ135" s="5">
        <v>46057.0</v>
      </c>
      <c r="AK135" s="1">
        <f t="shared" si="18"/>
        <v>2.4</v>
      </c>
      <c r="AL135" s="2" t="s">
        <v>378</v>
      </c>
      <c r="AM135" s="1">
        <f t="shared" si="19"/>
        <v>0.4</v>
      </c>
      <c r="AN135" s="1" t="s">
        <v>124</v>
      </c>
    </row>
    <row r="136">
      <c r="A136" s="1" t="s">
        <v>782</v>
      </c>
      <c r="B136" s="1" t="s">
        <v>103</v>
      </c>
      <c r="C136" s="2" t="s">
        <v>783</v>
      </c>
      <c r="D136" s="1">
        <f t="shared" si="1"/>
        <v>29.99</v>
      </c>
      <c r="E136" s="2" t="s">
        <v>59</v>
      </c>
      <c r="F136" s="1">
        <f t="shared" si="2"/>
        <v>0.73</v>
      </c>
      <c r="G136" s="1" t="str">
        <f t="shared" si="3"/>
        <v>High</v>
      </c>
      <c r="H136" s="2" t="s">
        <v>784</v>
      </c>
      <c r="I136" s="1">
        <f t="shared" si="4"/>
        <v>5684.73</v>
      </c>
      <c r="J136" s="2" t="s">
        <v>51</v>
      </c>
      <c r="K136" s="1">
        <f t="shared" si="5"/>
        <v>0.5</v>
      </c>
      <c r="L136" s="2" t="s">
        <v>233</v>
      </c>
      <c r="M136" s="1">
        <f t="shared" si="6"/>
        <v>0.51</v>
      </c>
      <c r="N136" s="2" t="s">
        <v>178</v>
      </c>
      <c r="O136" s="1">
        <f t="shared" si="7"/>
        <v>0.19</v>
      </c>
      <c r="P136" s="2" t="s">
        <v>254</v>
      </c>
      <c r="Q136" s="1">
        <f t="shared" si="8"/>
        <v>0.67</v>
      </c>
      <c r="R136" s="2" t="s">
        <v>90</v>
      </c>
      <c r="S136" s="1">
        <f t="shared" si="9"/>
        <v>0.33</v>
      </c>
      <c r="T136" s="5">
        <v>46081.0</v>
      </c>
      <c r="U136" s="1">
        <f t="shared" si="10"/>
        <v>2.28</v>
      </c>
      <c r="V136" s="2" t="s">
        <v>302</v>
      </c>
      <c r="W136" s="1">
        <f t="shared" si="11"/>
        <v>0.36</v>
      </c>
      <c r="X136" s="2" t="s">
        <v>233</v>
      </c>
      <c r="Y136" s="1">
        <f t="shared" si="12"/>
        <v>0.51</v>
      </c>
      <c r="Z136" s="2" t="s">
        <v>785</v>
      </c>
      <c r="AA136" s="1">
        <f t="shared" si="13"/>
        <v>2.82</v>
      </c>
      <c r="AB136" s="2" t="s">
        <v>40</v>
      </c>
      <c r="AC136" s="1">
        <f t="shared" si="14"/>
        <v>0.2</v>
      </c>
      <c r="AD136" s="2" t="s">
        <v>68</v>
      </c>
      <c r="AE136" s="1">
        <f t="shared" si="15"/>
        <v>0.07</v>
      </c>
      <c r="AF136" s="2" t="s">
        <v>436</v>
      </c>
      <c r="AG136" s="1">
        <f t="shared" si="16"/>
        <v>3.97</v>
      </c>
      <c r="AH136" s="2" t="s">
        <v>252</v>
      </c>
      <c r="AI136" s="1">
        <f t="shared" si="17"/>
        <v>1.69</v>
      </c>
      <c r="AJ136" s="2" t="s">
        <v>187</v>
      </c>
      <c r="AK136" s="1">
        <f t="shared" si="18"/>
        <v>1.32</v>
      </c>
      <c r="AL136" s="2" t="s">
        <v>138</v>
      </c>
      <c r="AM136" s="1">
        <f t="shared" si="19"/>
        <v>0.57</v>
      </c>
      <c r="AN136" s="1">
        <v>6.0</v>
      </c>
    </row>
    <row r="137">
      <c r="A137" s="1" t="s">
        <v>786</v>
      </c>
      <c r="B137" s="1" t="s">
        <v>134</v>
      </c>
      <c r="C137" s="2" t="s">
        <v>787</v>
      </c>
      <c r="D137" s="1">
        <f t="shared" si="1"/>
        <v>96.71</v>
      </c>
      <c r="E137" s="2" t="s">
        <v>118</v>
      </c>
      <c r="F137" s="1">
        <f t="shared" si="2"/>
        <v>0.66</v>
      </c>
      <c r="G137" s="1" t="str">
        <f t="shared" si="3"/>
        <v>Medium</v>
      </c>
      <c r="H137" s="2" t="s">
        <v>788</v>
      </c>
      <c r="I137" s="1">
        <f t="shared" si="4"/>
        <v>2379.44</v>
      </c>
      <c r="J137" s="2" t="s">
        <v>302</v>
      </c>
      <c r="K137" s="1">
        <f t="shared" si="5"/>
        <v>0.36</v>
      </c>
      <c r="L137" s="2" t="s">
        <v>82</v>
      </c>
      <c r="M137" s="1">
        <f t="shared" si="6"/>
        <v>0.03</v>
      </c>
      <c r="N137" s="2" t="s">
        <v>93</v>
      </c>
      <c r="O137" s="1">
        <f t="shared" si="7"/>
        <v>0.09</v>
      </c>
      <c r="P137" s="2" t="s">
        <v>130</v>
      </c>
      <c r="Q137" s="1">
        <f t="shared" si="8"/>
        <v>0.34</v>
      </c>
      <c r="R137" s="2" t="s">
        <v>365</v>
      </c>
      <c r="S137" s="1">
        <f t="shared" si="9"/>
        <v>0.23</v>
      </c>
      <c r="T137" s="5">
        <v>46023.0</v>
      </c>
      <c r="U137" s="1">
        <f t="shared" si="10"/>
        <v>1.1</v>
      </c>
      <c r="V137" s="2" t="s">
        <v>310</v>
      </c>
      <c r="W137" s="1">
        <f t="shared" si="11"/>
        <v>0.32</v>
      </c>
      <c r="X137" s="2" t="s">
        <v>48</v>
      </c>
      <c r="Y137" s="1">
        <f t="shared" si="12"/>
        <v>0.02</v>
      </c>
      <c r="Z137" s="2" t="s">
        <v>93</v>
      </c>
      <c r="AA137" s="1">
        <f t="shared" si="13"/>
        <v>0.09</v>
      </c>
      <c r="AB137" s="2" t="s">
        <v>68</v>
      </c>
      <c r="AC137" s="1">
        <f t="shared" si="14"/>
        <v>0.07</v>
      </c>
      <c r="AD137" s="2" t="s">
        <v>181</v>
      </c>
      <c r="AE137" s="1">
        <f t="shared" si="15"/>
        <v>0.05</v>
      </c>
      <c r="AF137" s="2" t="s">
        <v>100</v>
      </c>
      <c r="AG137" s="1">
        <f t="shared" si="16"/>
        <v>0.54</v>
      </c>
      <c r="AH137" s="2" t="s">
        <v>789</v>
      </c>
      <c r="AI137" s="1">
        <f t="shared" si="17"/>
        <v>-0.56</v>
      </c>
      <c r="AJ137" s="2" t="s">
        <v>96</v>
      </c>
      <c r="AK137" s="1">
        <f t="shared" si="18"/>
        <v>0.64</v>
      </c>
      <c r="AL137" s="6">
        <v>46056.0</v>
      </c>
      <c r="AM137" s="1">
        <f t="shared" si="19"/>
        <v>2.03</v>
      </c>
      <c r="AN137" s="1">
        <v>5.0</v>
      </c>
    </row>
    <row r="138">
      <c r="A138" s="1" t="s">
        <v>790</v>
      </c>
      <c r="B138" s="1" t="s">
        <v>143</v>
      </c>
      <c r="C138" s="2" t="s">
        <v>791</v>
      </c>
      <c r="D138" s="1">
        <f t="shared" si="1"/>
        <v>38.21</v>
      </c>
      <c r="E138" s="2" t="s">
        <v>344</v>
      </c>
      <c r="F138" s="1">
        <f t="shared" si="2"/>
        <v>0.84</v>
      </c>
      <c r="G138" s="1" t="str">
        <f t="shared" si="3"/>
        <v>Very High</v>
      </c>
      <c r="H138" s="2" t="s">
        <v>792</v>
      </c>
      <c r="I138" s="1">
        <f t="shared" si="4"/>
        <v>13769.5</v>
      </c>
      <c r="J138" s="2" t="s">
        <v>344</v>
      </c>
      <c r="K138" s="1">
        <f t="shared" si="5"/>
        <v>0.84</v>
      </c>
      <c r="L138" s="2" t="s">
        <v>49</v>
      </c>
      <c r="M138" s="1">
        <f t="shared" si="6"/>
        <v>0.04</v>
      </c>
      <c r="N138" s="2" t="s">
        <v>61</v>
      </c>
      <c r="O138" s="1">
        <f t="shared" si="7"/>
        <v>0.78</v>
      </c>
      <c r="P138" s="2" t="s">
        <v>116</v>
      </c>
      <c r="Q138" s="1">
        <f t="shared" si="8"/>
        <v>2.64</v>
      </c>
      <c r="R138" s="2" t="s">
        <v>181</v>
      </c>
      <c r="S138" s="1">
        <f t="shared" si="9"/>
        <v>0.05</v>
      </c>
      <c r="T138" s="2" t="s">
        <v>793</v>
      </c>
      <c r="U138" s="1">
        <f t="shared" si="10"/>
        <v>4.44</v>
      </c>
      <c r="V138" s="6">
        <v>46027.0</v>
      </c>
      <c r="W138" s="1">
        <f t="shared" si="11"/>
        <v>1.05</v>
      </c>
      <c r="X138" s="2" t="s">
        <v>68</v>
      </c>
      <c r="Y138" s="1">
        <f t="shared" si="12"/>
        <v>0.07</v>
      </c>
      <c r="Z138" s="2" t="s">
        <v>394</v>
      </c>
      <c r="AA138" s="1">
        <f t="shared" si="13"/>
        <v>0.77</v>
      </c>
      <c r="AB138" s="2" t="s">
        <v>149</v>
      </c>
      <c r="AC138" s="1">
        <f t="shared" si="14"/>
        <v>0.11</v>
      </c>
      <c r="AD138" s="2" t="s">
        <v>93</v>
      </c>
      <c r="AE138" s="1">
        <f t="shared" si="15"/>
        <v>0.09</v>
      </c>
      <c r="AF138" s="6">
        <v>46061.0</v>
      </c>
      <c r="AG138" s="1">
        <f t="shared" si="16"/>
        <v>2.08</v>
      </c>
      <c r="AH138" s="2" t="s">
        <v>794</v>
      </c>
      <c r="AI138" s="1">
        <f t="shared" si="17"/>
        <v>-2.36</v>
      </c>
      <c r="AJ138" s="2" t="s">
        <v>216</v>
      </c>
      <c r="AK138" s="1">
        <f t="shared" si="18"/>
        <v>2.57</v>
      </c>
      <c r="AL138" s="5">
        <v>46067.0</v>
      </c>
      <c r="AM138" s="1">
        <f t="shared" si="19"/>
        <v>2.14</v>
      </c>
      <c r="AN138" s="1">
        <v>6.0</v>
      </c>
    </row>
    <row r="139">
      <c r="A139" s="1" t="s">
        <v>795</v>
      </c>
      <c r="B139" s="1" t="s">
        <v>143</v>
      </c>
      <c r="C139" s="5">
        <v>46301.0</v>
      </c>
      <c r="D139" s="1">
        <f t="shared" si="1"/>
        <v>10.6</v>
      </c>
      <c r="E139" s="2" t="s">
        <v>111</v>
      </c>
      <c r="F139" s="1">
        <f t="shared" si="2"/>
        <v>0.83</v>
      </c>
      <c r="G139" s="1" t="str">
        <f t="shared" si="3"/>
        <v>Very High</v>
      </c>
      <c r="H139" s="2" t="s">
        <v>796</v>
      </c>
      <c r="I139" s="1">
        <f t="shared" si="4"/>
        <v>23217.3</v>
      </c>
      <c r="J139" s="6">
        <v>46025.0</v>
      </c>
      <c r="K139" s="1">
        <f t="shared" si="5"/>
        <v>1.03</v>
      </c>
      <c r="L139" s="2" t="s">
        <v>63</v>
      </c>
      <c r="M139" s="1">
        <f t="shared" si="6"/>
        <v>0.25</v>
      </c>
      <c r="N139" s="2" t="s">
        <v>93</v>
      </c>
      <c r="O139" s="1">
        <f t="shared" si="7"/>
        <v>0.09</v>
      </c>
      <c r="P139" s="5">
        <v>46068.0</v>
      </c>
      <c r="Q139" s="1">
        <f t="shared" si="8"/>
        <v>2.15</v>
      </c>
      <c r="R139" s="2" t="s">
        <v>285</v>
      </c>
      <c r="S139" s="1">
        <f t="shared" si="9"/>
        <v>0.31</v>
      </c>
      <c r="T139" s="2" t="s">
        <v>797</v>
      </c>
      <c r="U139" s="1">
        <f t="shared" si="10"/>
        <v>3.88</v>
      </c>
      <c r="V139" s="2" t="s">
        <v>300</v>
      </c>
      <c r="W139" s="1">
        <f t="shared" si="11"/>
        <v>0.47</v>
      </c>
      <c r="X139" s="2" t="s">
        <v>69</v>
      </c>
      <c r="Y139" s="1">
        <f t="shared" si="12"/>
        <v>0.06</v>
      </c>
      <c r="Z139" s="2" t="s">
        <v>170</v>
      </c>
      <c r="AA139" s="1">
        <f t="shared" si="13"/>
        <v>0.85</v>
      </c>
      <c r="AB139" s="2" t="s">
        <v>68</v>
      </c>
      <c r="AC139" s="1">
        <f t="shared" si="14"/>
        <v>0.07</v>
      </c>
      <c r="AD139" s="2" t="s">
        <v>181</v>
      </c>
      <c r="AE139" s="1">
        <f t="shared" si="15"/>
        <v>0.05</v>
      </c>
      <c r="AF139" s="2" t="s">
        <v>528</v>
      </c>
      <c r="AG139" s="1">
        <f t="shared" si="16"/>
        <v>1.51</v>
      </c>
      <c r="AH139" s="2" t="s">
        <v>798</v>
      </c>
      <c r="AI139" s="1">
        <f t="shared" si="17"/>
        <v>-2.37</v>
      </c>
      <c r="AJ139" s="5">
        <v>46077.0</v>
      </c>
      <c r="AK139" s="1">
        <f t="shared" si="18"/>
        <v>2.24</v>
      </c>
      <c r="AL139" s="2" t="s">
        <v>216</v>
      </c>
      <c r="AM139" s="1">
        <f t="shared" si="19"/>
        <v>2.57</v>
      </c>
      <c r="AN139" s="1">
        <v>5.0</v>
      </c>
    </row>
    <row r="140">
      <c r="A140" s="1" t="s">
        <v>799</v>
      </c>
      <c r="B140" s="1" t="s">
        <v>33</v>
      </c>
      <c r="C140" s="6">
        <v>46058.0</v>
      </c>
      <c r="D140" s="1">
        <f t="shared" si="1"/>
        <v>2.05</v>
      </c>
      <c r="E140" s="2" t="s">
        <v>170</v>
      </c>
      <c r="F140" s="1">
        <f t="shared" si="2"/>
        <v>0.85</v>
      </c>
      <c r="G140" s="1" t="str">
        <f t="shared" si="3"/>
        <v>Very High</v>
      </c>
      <c r="H140" s="2" t="s">
        <v>800</v>
      </c>
      <c r="I140" s="1">
        <f t="shared" si="4"/>
        <v>99431.5</v>
      </c>
      <c r="J140" s="2" t="s">
        <v>138</v>
      </c>
      <c r="K140" s="1">
        <f t="shared" si="5"/>
        <v>0.57</v>
      </c>
      <c r="L140" s="2" t="s">
        <v>81</v>
      </c>
      <c r="M140" s="1">
        <f t="shared" si="6"/>
        <v>0.27</v>
      </c>
      <c r="N140" s="2" t="s">
        <v>91</v>
      </c>
      <c r="O140" s="1">
        <f t="shared" si="7"/>
        <v>0.15</v>
      </c>
      <c r="P140" s="2" t="s">
        <v>801</v>
      </c>
      <c r="Q140" s="1">
        <f t="shared" si="8"/>
        <v>9.57</v>
      </c>
      <c r="R140" s="2" t="s">
        <v>178</v>
      </c>
      <c r="S140" s="1">
        <f t="shared" si="9"/>
        <v>0.19</v>
      </c>
      <c r="T140" s="5">
        <v>46303.0</v>
      </c>
      <c r="U140" s="1">
        <f t="shared" si="10"/>
        <v>10.8</v>
      </c>
      <c r="V140" s="2" t="s">
        <v>80</v>
      </c>
      <c r="W140" s="1">
        <f t="shared" si="11"/>
        <v>0.01</v>
      </c>
      <c r="X140" s="2">
        <v>0.0</v>
      </c>
      <c r="Y140" s="1">
        <f t="shared" si="12"/>
        <v>0</v>
      </c>
      <c r="Z140" s="2">
        <v>0.0</v>
      </c>
      <c r="AA140" s="1">
        <f t="shared" si="13"/>
        <v>0</v>
      </c>
      <c r="AB140" s="5">
        <v>46039.0</v>
      </c>
      <c r="AC140" s="1">
        <f t="shared" si="14"/>
        <v>1.17</v>
      </c>
      <c r="AD140" s="2" t="s">
        <v>69</v>
      </c>
      <c r="AE140" s="1">
        <f t="shared" si="15"/>
        <v>0.06</v>
      </c>
      <c r="AF140" s="5">
        <v>46046.0</v>
      </c>
      <c r="AG140" s="1">
        <f t="shared" si="16"/>
        <v>1.24</v>
      </c>
      <c r="AH140" s="2" t="s">
        <v>802</v>
      </c>
      <c r="AI140" s="1">
        <f t="shared" si="17"/>
        <v>-9.56</v>
      </c>
      <c r="AJ140" s="5">
        <v>46197.0</v>
      </c>
      <c r="AK140" s="1">
        <f t="shared" si="18"/>
        <v>6.24</v>
      </c>
      <c r="AL140" s="2" t="s">
        <v>803</v>
      </c>
      <c r="AM140" s="1">
        <f t="shared" si="19"/>
        <v>8.72</v>
      </c>
      <c r="AN140" s="1" t="s">
        <v>164</v>
      </c>
    </row>
    <row r="141">
      <c r="A141" s="1" t="s">
        <v>804</v>
      </c>
      <c r="B141" s="1" t="s">
        <v>73</v>
      </c>
      <c r="C141" s="2" t="s">
        <v>412</v>
      </c>
      <c r="D141" s="1">
        <f t="shared" si="1"/>
        <v>0.86</v>
      </c>
      <c r="F141" s="1" t="str">
        <f t="shared" si="2"/>
        <v/>
      </c>
      <c r="G141" s="1" t="str">
        <f t="shared" si="3"/>
        <v>Unknown</v>
      </c>
      <c r="I141" s="1" t="str">
        <f t="shared" si="4"/>
        <v/>
      </c>
      <c r="J141" s="2" t="s">
        <v>154</v>
      </c>
      <c r="K141" s="1">
        <f t="shared" si="5"/>
        <v>0.14</v>
      </c>
      <c r="L141" s="2" t="s">
        <v>80</v>
      </c>
      <c r="M141" s="1">
        <f t="shared" si="6"/>
        <v>0.01</v>
      </c>
      <c r="N141" s="2" t="s">
        <v>91</v>
      </c>
      <c r="O141" s="1">
        <f t="shared" si="7"/>
        <v>0.15</v>
      </c>
      <c r="P141" s="5">
        <v>46108.0</v>
      </c>
      <c r="Q141" s="1">
        <f t="shared" si="8"/>
        <v>3.27</v>
      </c>
      <c r="R141" s="2" t="s">
        <v>93</v>
      </c>
      <c r="S141" s="1">
        <f t="shared" si="9"/>
        <v>0.09</v>
      </c>
      <c r="T141" s="2" t="s">
        <v>805</v>
      </c>
      <c r="U141" s="1">
        <f t="shared" si="10"/>
        <v>3.65</v>
      </c>
      <c r="V141" s="2" t="s">
        <v>154</v>
      </c>
      <c r="W141" s="1">
        <f t="shared" si="11"/>
        <v>0.14</v>
      </c>
      <c r="X141" s="2" t="s">
        <v>80</v>
      </c>
      <c r="Y141" s="1">
        <f t="shared" si="12"/>
        <v>0.01</v>
      </c>
      <c r="Z141" s="2" t="s">
        <v>49</v>
      </c>
      <c r="AA141" s="1">
        <f t="shared" si="13"/>
        <v>0.04</v>
      </c>
      <c r="AB141" s="2">
        <v>0.0</v>
      </c>
      <c r="AC141" s="1">
        <f t="shared" si="14"/>
        <v>0</v>
      </c>
      <c r="AD141" s="2">
        <v>0.0</v>
      </c>
      <c r="AE141" s="1">
        <f t="shared" si="15"/>
        <v>0</v>
      </c>
      <c r="AF141" s="2" t="s">
        <v>42</v>
      </c>
      <c r="AG141" s="1">
        <f t="shared" si="16"/>
        <v>0.18</v>
      </c>
      <c r="AH141" s="2" t="s">
        <v>806</v>
      </c>
      <c r="AI141" s="1">
        <f t="shared" si="17"/>
        <v>-3.47</v>
      </c>
      <c r="AJ141" s="5">
        <v>46064.0</v>
      </c>
      <c r="AK141" s="1">
        <f t="shared" si="18"/>
        <v>2.11</v>
      </c>
      <c r="AL141" s="2" t="s">
        <v>807</v>
      </c>
      <c r="AM141" s="1">
        <f t="shared" si="19"/>
        <v>20.18</v>
      </c>
      <c r="AN141" s="1">
        <v>5.0</v>
      </c>
    </row>
    <row r="142">
      <c r="A142" s="1" t="s">
        <v>808</v>
      </c>
      <c r="B142" s="1" t="s">
        <v>143</v>
      </c>
      <c r="C142" s="2" t="s">
        <v>809</v>
      </c>
      <c r="D142" s="1">
        <f t="shared" si="1"/>
        <v>21.76</v>
      </c>
      <c r="E142" s="2" t="s">
        <v>44</v>
      </c>
      <c r="F142" s="1">
        <f t="shared" si="2"/>
        <v>0.79</v>
      </c>
      <c r="G142" s="1" t="str">
        <f t="shared" si="3"/>
        <v>High</v>
      </c>
      <c r="H142" s="2" t="s">
        <v>810</v>
      </c>
      <c r="I142" s="1">
        <f t="shared" si="4"/>
        <v>9213.94</v>
      </c>
      <c r="J142" s="2" t="s">
        <v>186</v>
      </c>
      <c r="K142" s="1">
        <f t="shared" si="5"/>
        <v>0.72</v>
      </c>
      <c r="L142" s="2" t="s">
        <v>181</v>
      </c>
      <c r="M142" s="1">
        <f t="shared" si="6"/>
        <v>0.05</v>
      </c>
      <c r="N142" s="2" t="s">
        <v>90</v>
      </c>
      <c r="O142" s="1">
        <f t="shared" si="7"/>
        <v>0.33</v>
      </c>
      <c r="P142" s="2" t="s">
        <v>317</v>
      </c>
      <c r="Q142" s="1">
        <f t="shared" si="8"/>
        <v>1.46</v>
      </c>
      <c r="R142" s="2" t="s">
        <v>82</v>
      </c>
      <c r="S142" s="1">
        <f t="shared" si="9"/>
        <v>0.03</v>
      </c>
      <c r="T142" s="2" t="s">
        <v>184</v>
      </c>
      <c r="U142" s="1">
        <f t="shared" si="10"/>
        <v>2.71</v>
      </c>
      <c r="V142" s="2" t="s">
        <v>64</v>
      </c>
      <c r="W142" s="1">
        <f t="shared" si="11"/>
        <v>0.87</v>
      </c>
      <c r="X142" s="2" t="s">
        <v>149</v>
      </c>
      <c r="Y142" s="1">
        <f t="shared" si="12"/>
        <v>0.11</v>
      </c>
      <c r="Z142" s="5">
        <v>46036.0</v>
      </c>
      <c r="AA142" s="1">
        <f t="shared" si="13"/>
        <v>1.14</v>
      </c>
      <c r="AB142" s="2" t="s">
        <v>41</v>
      </c>
      <c r="AC142" s="1">
        <f t="shared" si="14"/>
        <v>0.08</v>
      </c>
      <c r="AD142" s="2" t="s">
        <v>92</v>
      </c>
      <c r="AE142" s="1">
        <f t="shared" si="15"/>
        <v>0.12</v>
      </c>
      <c r="AF142" s="2" t="s">
        <v>355</v>
      </c>
      <c r="AG142" s="1">
        <f t="shared" si="16"/>
        <v>2.32</v>
      </c>
      <c r="AH142" s="2" t="s">
        <v>811</v>
      </c>
      <c r="AI142" s="1">
        <f t="shared" si="17"/>
        <v>-0.39</v>
      </c>
      <c r="AJ142" s="2" t="s">
        <v>752</v>
      </c>
      <c r="AK142" s="1">
        <f t="shared" si="18"/>
        <v>1.56</v>
      </c>
      <c r="AL142" s="5">
        <v>46039.0</v>
      </c>
      <c r="AM142" s="1">
        <f t="shared" si="19"/>
        <v>1.17</v>
      </c>
      <c r="AN142" s="1">
        <v>5.0</v>
      </c>
    </row>
    <row r="143">
      <c r="A143" s="1" t="s">
        <v>812</v>
      </c>
      <c r="B143" s="1" t="s">
        <v>58</v>
      </c>
      <c r="C143" s="2" t="s">
        <v>813</v>
      </c>
      <c r="D143" s="1">
        <f t="shared" si="1"/>
        <v>143.17</v>
      </c>
      <c r="E143" s="2" t="s">
        <v>44</v>
      </c>
      <c r="F143" s="1">
        <f t="shared" si="2"/>
        <v>0.79</v>
      </c>
      <c r="G143" s="1" t="str">
        <f t="shared" si="3"/>
        <v>High</v>
      </c>
      <c r="H143" s="2" t="s">
        <v>814</v>
      </c>
      <c r="I143" s="1">
        <f t="shared" si="4"/>
        <v>13320.2</v>
      </c>
      <c r="J143" s="2" t="s">
        <v>394</v>
      </c>
      <c r="K143" s="1">
        <f t="shared" si="5"/>
        <v>0.77</v>
      </c>
      <c r="L143" s="2" t="s">
        <v>91</v>
      </c>
      <c r="M143" s="1">
        <f t="shared" si="6"/>
        <v>0.15</v>
      </c>
      <c r="N143" s="2" t="s">
        <v>254</v>
      </c>
      <c r="O143" s="1">
        <f t="shared" si="7"/>
        <v>0.67</v>
      </c>
      <c r="P143" s="2" t="s">
        <v>815</v>
      </c>
      <c r="Q143" s="1">
        <f t="shared" si="8"/>
        <v>3.87</v>
      </c>
      <c r="R143" s="2" t="s">
        <v>178</v>
      </c>
      <c r="S143" s="1">
        <f t="shared" si="9"/>
        <v>0.19</v>
      </c>
      <c r="T143" s="2" t="s">
        <v>611</v>
      </c>
      <c r="U143" s="1">
        <f t="shared" si="10"/>
        <v>5.69</v>
      </c>
      <c r="V143" s="2" t="s">
        <v>170</v>
      </c>
      <c r="W143" s="1">
        <f t="shared" si="11"/>
        <v>0.85</v>
      </c>
      <c r="X143" s="2" t="s">
        <v>130</v>
      </c>
      <c r="Y143" s="1">
        <f t="shared" si="12"/>
        <v>0.34</v>
      </c>
      <c r="Z143" s="2" t="s">
        <v>247</v>
      </c>
      <c r="AA143" s="1">
        <f t="shared" si="13"/>
        <v>4.38</v>
      </c>
      <c r="AB143" s="5">
        <v>46041.0</v>
      </c>
      <c r="AC143" s="1">
        <f t="shared" si="14"/>
        <v>1.19</v>
      </c>
      <c r="AD143" s="2" t="s">
        <v>82</v>
      </c>
      <c r="AE143" s="1">
        <f t="shared" si="15"/>
        <v>0.03</v>
      </c>
      <c r="AF143" s="2" t="s">
        <v>816</v>
      </c>
      <c r="AG143" s="1">
        <f t="shared" si="16"/>
        <v>6.79</v>
      </c>
      <c r="AH143" s="5">
        <v>46023.0</v>
      </c>
      <c r="AI143" s="1">
        <f t="shared" si="17"/>
        <v>1.1</v>
      </c>
      <c r="AJ143" s="5">
        <v>46110.0</v>
      </c>
      <c r="AK143" s="1">
        <f t="shared" si="18"/>
        <v>3.29</v>
      </c>
      <c r="AL143" s="2" t="s">
        <v>344</v>
      </c>
      <c r="AM143" s="1">
        <f t="shared" si="19"/>
        <v>0.84</v>
      </c>
      <c r="AN143" s="1">
        <v>6.0</v>
      </c>
    </row>
    <row r="144">
      <c r="A144" s="1" t="s">
        <v>817</v>
      </c>
      <c r="B144" s="1" t="s">
        <v>73</v>
      </c>
      <c r="C144" s="2" t="s">
        <v>818</v>
      </c>
      <c r="D144" s="1">
        <f t="shared" si="1"/>
        <v>11.46</v>
      </c>
      <c r="E144" s="2" t="s">
        <v>224</v>
      </c>
      <c r="F144" s="1">
        <f t="shared" si="2"/>
        <v>0.48</v>
      </c>
      <c r="G144" s="1" t="str">
        <f t="shared" si="3"/>
        <v>Low</v>
      </c>
      <c r="H144" s="2" t="s">
        <v>819</v>
      </c>
      <c r="I144" s="1">
        <f t="shared" si="4"/>
        <v>628.08</v>
      </c>
      <c r="J144" s="2" t="s">
        <v>248</v>
      </c>
      <c r="K144" s="1">
        <f t="shared" si="5"/>
        <v>0.43</v>
      </c>
      <c r="L144" s="2" t="s">
        <v>181</v>
      </c>
      <c r="M144" s="1">
        <f t="shared" si="6"/>
        <v>0.05</v>
      </c>
      <c r="N144" s="2" t="s">
        <v>63</v>
      </c>
      <c r="O144" s="1">
        <f t="shared" si="7"/>
        <v>0.25</v>
      </c>
      <c r="P144" s="2" t="s">
        <v>68</v>
      </c>
      <c r="Q144" s="1">
        <f t="shared" si="8"/>
        <v>0.07</v>
      </c>
      <c r="R144" s="2" t="s">
        <v>80</v>
      </c>
      <c r="S144" s="1">
        <f t="shared" si="9"/>
        <v>0.01</v>
      </c>
      <c r="T144" s="2" t="s">
        <v>64</v>
      </c>
      <c r="U144" s="1">
        <f t="shared" si="10"/>
        <v>0.87</v>
      </c>
      <c r="V144" s="2" t="s">
        <v>201</v>
      </c>
      <c r="W144" s="1">
        <f t="shared" si="11"/>
        <v>0.42</v>
      </c>
      <c r="X144" s="2" t="s">
        <v>181</v>
      </c>
      <c r="Y144" s="1">
        <f t="shared" si="12"/>
        <v>0.05</v>
      </c>
      <c r="Z144" s="2" t="s">
        <v>80</v>
      </c>
      <c r="AA144" s="1">
        <f t="shared" si="13"/>
        <v>0.01</v>
      </c>
      <c r="AB144" s="2" t="s">
        <v>80</v>
      </c>
      <c r="AC144" s="1">
        <f t="shared" si="14"/>
        <v>0.01</v>
      </c>
      <c r="AD144" s="2" t="s">
        <v>181</v>
      </c>
      <c r="AE144" s="1">
        <f t="shared" si="15"/>
        <v>0.05</v>
      </c>
      <c r="AF144" s="2" t="s">
        <v>100</v>
      </c>
      <c r="AG144" s="1">
        <f t="shared" si="16"/>
        <v>0.54</v>
      </c>
      <c r="AH144" s="2" t="s">
        <v>554</v>
      </c>
      <c r="AI144" s="1">
        <f t="shared" si="17"/>
        <v>-0.32</v>
      </c>
      <c r="AJ144" s="2" t="s">
        <v>51</v>
      </c>
      <c r="AK144" s="1">
        <f t="shared" si="18"/>
        <v>0.5</v>
      </c>
      <c r="AL144" s="5">
        <v>46028.0</v>
      </c>
      <c r="AM144" s="1">
        <f t="shared" si="19"/>
        <v>1.6</v>
      </c>
      <c r="AN144" s="1">
        <v>5.0</v>
      </c>
    </row>
    <row r="145">
      <c r="A145" s="1" t="s">
        <v>820</v>
      </c>
      <c r="B145" s="1" t="s">
        <v>103</v>
      </c>
      <c r="C145" s="2" t="s">
        <v>181</v>
      </c>
      <c r="D145" s="1">
        <f t="shared" si="1"/>
        <v>0.05</v>
      </c>
      <c r="E145" s="2" t="s">
        <v>128</v>
      </c>
      <c r="F145" s="1">
        <f t="shared" si="2"/>
        <v>0.74</v>
      </c>
      <c r="G145" s="1" t="str">
        <f t="shared" si="3"/>
        <v>High</v>
      </c>
      <c r="H145" s="2" t="s">
        <v>821</v>
      </c>
      <c r="I145" s="1">
        <f t="shared" si="4"/>
        <v>12952.5</v>
      </c>
      <c r="J145" s="2" t="s">
        <v>233</v>
      </c>
      <c r="K145" s="1">
        <f t="shared" si="5"/>
        <v>0.51</v>
      </c>
      <c r="L145" s="2" t="s">
        <v>42</v>
      </c>
      <c r="M145" s="1">
        <f t="shared" si="6"/>
        <v>0.18</v>
      </c>
      <c r="N145" s="2" t="s">
        <v>93</v>
      </c>
      <c r="O145" s="1">
        <f t="shared" si="7"/>
        <v>0.09</v>
      </c>
      <c r="P145" s="2" t="s">
        <v>822</v>
      </c>
      <c r="Q145" s="1">
        <f t="shared" si="8"/>
        <v>3.34</v>
      </c>
      <c r="R145" s="2" t="s">
        <v>236</v>
      </c>
      <c r="S145" s="1">
        <f t="shared" si="9"/>
        <v>0.81</v>
      </c>
      <c r="T145" s="2" t="s">
        <v>823</v>
      </c>
      <c r="U145" s="1">
        <f t="shared" si="10"/>
        <v>4.94</v>
      </c>
      <c r="V145" s="2" t="s">
        <v>69</v>
      </c>
      <c r="W145" s="1">
        <f t="shared" si="11"/>
        <v>0.06</v>
      </c>
      <c r="X145" s="2" t="s">
        <v>80</v>
      </c>
      <c r="Y145" s="1">
        <f t="shared" si="12"/>
        <v>0.01</v>
      </c>
      <c r="Z145" s="2" t="s">
        <v>79</v>
      </c>
      <c r="AA145" s="1">
        <f t="shared" si="13"/>
        <v>0.17</v>
      </c>
      <c r="AB145" s="2" t="s">
        <v>199</v>
      </c>
      <c r="AC145" s="1">
        <f t="shared" si="14"/>
        <v>0.38</v>
      </c>
      <c r="AD145" s="2">
        <v>0.0</v>
      </c>
      <c r="AE145" s="1">
        <f t="shared" si="15"/>
        <v>0</v>
      </c>
      <c r="AF145" s="2" t="s">
        <v>275</v>
      </c>
      <c r="AG145" s="1">
        <f t="shared" si="16"/>
        <v>0.62</v>
      </c>
      <c r="AH145" s="2" t="s">
        <v>824</v>
      </c>
      <c r="AI145" s="1">
        <f t="shared" si="17"/>
        <v>-4.31</v>
      </c>
      <c r="AJ145" s="2" t="s">
        <v>825</v>
      </c>
      <c r="AK145" s="1">
        <f t="shared" si="18"/>
        <v>2.85</v>
      </c>
      <c r="AL145" s="2" t="s">
        <v>826</v>
      </c>
      <c r="AM145" s="1">
        <f t="shared" si="19"/>
        <v>7.92</v>
      </c>
      <c r="AN145" s="1" t="s">
        <v>164</v>
      </c>
    </row>
    <row r="146">
      <c r="A146" s="1" t="s">
        <v>827</v>
      </c>
      <c r="B146" s="1" t="s">
        <v>103</v>
      </c>
      <c r="C146" s="2" t="s">
        <v>42</v>
      </c>
      <c r="D146" s="1">
        <f t="shared" si="1"/>
        <v>0.18</v>
      </c>
      <c r="E146" s="2" t="s">
        <v>59</v>
      </c>
      <c r="F146" s="1">
        <f t="shared" si="2"/>
        <v>0.73</v>
      </c>
      <c r="G146" s="1" t="str">
        <f t="shared" si="3"/>
        <v>High</v>
      </c>
      <c r="H146" s="2" t="s">
        <v>828</v>
      </c>
      <c r="I146" s="1">
        <f t="shared" si="4"/>
        <v>7737.2</v>
      </c>
      <c r="J146" s="2" t="s">
        <v>199</v>
      </c>
      <c r="K146" s="1">
        <f t="shared" si="5"/>
        <v>0.38</v>
      </c>
      <c r="L146" s="2" t="s">
        <v>114</v>
      </c>
      <c r="M146" s="1">
        <f t="shared" si="6"/>
        <v>0.1</v>
      </c>
      <c r="N146" s="2" t="s">
        <v>79</v>
      </c>
      <c r="O146" s="1">
        <f t="shared" si="7"/>
        <v>0.17</v>
      </c>
      <c r="P146" s="2" t="s">
        <v>752</v>
      </c>
      <c r="Q146" s="1">
        <f t="shared" si="8"/>
        <v>1.56</v>
      </c>
      <c r="R146" s="2" t="s">
        <v>365</v>
      </c>
      <c r="S146" s="1">
        <f t="shared" si="9"/>
        <v>0.23</v>
      </c>
      <c r="T146" s="2" t="s">
        <v>829</v>
      </c>
      <c r="U146" s="1">
        <f t="shared" si="10"/>
        <v>2.45</v>
      </c>
      <c r="V146" s="2" t="s">
        <v>114</v>
      </c>
      <c r="W146" s="1">
        <f t="shared" si="11"/>
        <v>0.1</v>
      </c>
      <c r="X146" s="2">
        <v>0.0</v>
      </c>
      <c r="Y146" s="1">
        <f t="shared" si="12"/>
        <v>0</v>
      </c>
      <c r="Z146" s="2" t="s">
        <v>114</v>
      </c>
      <c r="AA146" s="1">
        <f t="shared" si="13"/>
        <v>0.1</v>
      </c>
      <c r="AB146" s="2" t="s">
        <v>154</v>
      </c>
      <c r="AC146" s="1">
        <f t="shared" si="14"/>
        <v>0.14</v>
      </c>
      <c r="AD146" s="2">
        <v>0.0</v>
      </c>
      <c r="AE146" s="1">
        <f t="shared" si="15"/>
        <v>0</v>
      </c>
      <c r="AF146" s="2" t="s">
        <v>130</v>
      </c>
      <c r="AG146" s="1">
        <f t="shared" si="16"/>
        <v>0.34</v>
      </c>
      <c r="AH146" s="2" t="s">
        <v>830</v>
      </c>
      <c r="AI146" s="1">
        <f t="shared" si="17"/>
        <v>-2.1</v>
      </c>
      <c r="AJ146" s="2" t="s">
        <v>234</v>
      </c>
      <c r="AK146" s="1">
        <f t="shared" si="18"/>
        <v>1.41</v>
      </c>
      <c r="AL146" s="5">
        <v>46215.0</v>
      </c>
      <c r="AM146" s="1">
        <f t="shared" si="19"/>
        <v>7.12</v>
      </c>
      <c r="AN146" s="1" t="s">
        <v>124</v>
      </c>
    </row>
    <row r="147">
      <c r="A147" s="1" t="s">
        <v>831</v>
      </c>
      <c r="B147" s="1" t="s">
        <v>103</v>
      </c>
      <c r="C147" s="2" t="s">
        <v>149</v>
      </c>
      <c r="D147" s="1">
        <f t="shared" si="1"/>
        <v>0.11</v>
      </c>
      <c r="E147" s="2" t="s">
        <v>186</v>
      </c>
      <c r="F147" s="1">
        <f t="shared" si="2"/>
        <v>0.72</v>
      </c>
      <c r="G147" s="1" t="str">
        <f t="shared" si="3"/>
        <v>High</v>
      </c>
      <c r="H147" s="2" t="s">
        <v>832</v>
      </c>
      <c r="I147" s="1">
        <f t="shared" si="4"/>
        <v>6171.48</v>
      </c>
      <c r="K147" s="1" t="str">
        <f t="shared" si="5"/>
        <v/>
      </c>
      <c r="M147" s="1" t="str">
        <f t="shared" si="6"/>
        <v/>
      </c>
      <c r="O147" s="1" t="str">
        <f t="shared" si="7"/>
        <v/>
      </c>
      <c r="Q147" s="1" t="str">
        <f t="shared" si="8"/>
        <v/>
      </c>
      <c r="S147" s="1" t="str">
        <f t="shared" si="9"/>
        <v/>
      </c>
      <c r="T147" s="5">
        <v>46092.0</v>
      </c>
      <c r="U147" s="1">
        <f t="shared" si="10"/>
        <v>3.11</v>
      </c>
      <c r="W147" s="1" t="str">
        <f t="shared" si="11"/>
        <v/>
      </c>
      <c r="Y147" s="1" t="str">
        <f t="shared" si="12"/>
        <v/>
      </c>
      <c r="AA147" s="1" t="str">
        <f t="shared" si="13"/>
        <v/>
      </c>
      <c r="AC147" s="1" t="str">
        <f t="shared" si="14"/>
        <v/>
      </c>
      <c r="AE147" s="1" t="str">
        <f t="shared" si="15"/>
        <v/>
      </c>
      <c r="AF147" s="5">
        <v>46048.0</v>
      </c>
      <c r="AG147" s="1">
        <f t="shared" si="16"/>
        <v>1.26</v>
      </c>
      <c r="AH147" s="2" t="s">
        <v>833</v>
      </c>
      <c r="AI147" s="1">
        <f t="shared" si="17"/>
        <v>-1.85</v>
      </c>
      <c r="AJ147" s="2" t="s">
        <v>489</v>
      </c>
      <c r="AK147" s="1">
        <f t="shared" si="18"/>
        <v>1.79</v>
      </c>
      <c r="AL147" s="2" t="s">
        <v>834</v>
      </c>
      <c r="AM147" s="1">
        <f t="shared" si="19"/>
        <v>2.47</v>
      </c>
      <c r="AN147" s="1">
        <v>2.0</v>
      </c>
    </row>
    <row r="148">
      <c r="A148" s="1" t="s">
        <v>835</v>
      </c>
      <c r="B148" s="1" t="s">
        <v>134</v>
      </c>
      <c r="C148" s="2" t="s">
        <v>178</v>
      </c>
      <c r="D148" s="1">
        <f t="shared" si="1"/>
        <v>0.19</v>
      </c>
      <c r="E148" s="2" t="s">
        <v>305</v>
      </c>
      <c r="F148" s="1">
        <f t="shared" si="2"/>
        <v>0.7</v>
      </c>
      <c r="G148" s="1" t="str">
        <f t="shared" si="3"/>
        <v>High</v>
      </c>
      <c r="H148" s="2" t="s">
        <v>836</v>
      </c>
      <c r="I148" s="1">
        <f t="shared" si="4"/>
        <v>4067.15</v>
      </c>
      <c r="J148" s="2" t="s">
        <v>177</v>
      </c>
      <c r="K148" s="1">
        <f t="shared" si="5"/>
        <v>0.97</v>
      </c>
      <c r="L148" s="2" t="s">
        <v>78</v>
      </c>
      <c r="M148" s="1">
        <f t="shared" si="6"/>
        <v>0.16</v>
      </c>
      <c r="N148" s="2" t="s">
        <v>81</v>
      </c>
      <c r="O148" s="1">
        <f t="shared" si="7"/>
        <v>0.27</v>
      </c>
      <c r="P148" s="2" t="s">
        <v>466</v>
      </c>
      <c r="Q148" s="1">
        <f t="shared" si="8"/>
        <v>0.96</v>
      </c>
      <c r="R148" s="2" t="s">
        <v>201</v>
      </c>
      <c r="S148" s="1">
        <f t="shared" si="9"/>
        <v>0.42</v>
      </c>
      <c r="T148" s="2" t="s">
        <v>581</v>
      </c>
      <c r="U148" s="1">
        <f t="shared" si="10"/>
        <v>2.77</v>
      </c>
      <c r="V148" s="2" t="s">
        <v>267</v>
      </c>
      <c r="W148" s="1">
        <f t="shared" si="11"/>
        <v>0.69</v>
      </c>
      <c r="X148" s="2" t="s">
        <v>80</v>
      </c>
      <c r="Y148" s="1">
        <f t="shared" si="12"/>
        <v>0.01</v>
      </c>
      <c r="Z148" s="5">
        <v>46039.0</v>
      </c>
      <c r="AA148" s="1">
        <f t="shared" si="13"/>
        <v>1.17</v>
      </c>
      <c r="AB148" s="2" t="s">
        <v>69</v>
      </c>
      <c r="AC148" s="1">
        <f t="shared" si="14"/>
        <v>0.06</v>
      </c>
      <c r="AD148" s="2">
        <v>0.0</v>
      </c>
      <c r="AE148" s="1">
        <f t="shared" si="15"/>
        <v>0</v>
      </c>
      <c r="AF148" s="2" t="s">
        <v>600</v>
      </c>
      <c r="AG148" s="1">
        <f t="shared" si="16"/>
        <v>1.93</v>
      </c>
      <c r="AH148" s="2" t="s">
        <v>837</v>
      </c>
      <c r="AI148" s="1">
        <f t="shared" si="17"/>
        <v>-0.85</v>
      </c>
      <c r="AJ148" s="5">
        <v>46028.0</v>
      </c>
      <c r="AK148" s="1">
        <f t="shared" si="18"/>
        <v>1.6</v>
      </c>
      <c r="AL148" s="2" t="s">
        <v>772</v>
      </c>
      <c r="AM148" s="1">
        <f t="shared" si="19"/>
        <v>1.44</v>
      </c>
      <c r="AN148" s="1" t="s">
        <v>124</v>
      </c>
    </row>
    <row r="149">
      <c r="A149" s="1" t="s">
        <v>838</v>
      </c>
      <c r="B149" s="1" t="s">
        <v>73</v>
      </c>
      <c r="C149" s="2" t="s">
        <v>178</v>
      </c>
      <c r="D149" s="1">
        <f t="shared" si="1"/>
        <v>0.19</v>
      </c>
      <c r="E149" s="2" t="s">
        <v>65</v>
      </c>
      <c r="F149" s="1">
        <f t="shared" si="2"/>
        <v>0.55</v>
      </c>
      <c r="G149" s="1" t="str">
        <f t="shared" si="3"/>
        <v>Medium</v>
      </c>
      <c r="H149" s="2" t="s">
        <v>839</v>
      </c>
      <c r="I149" s="1">
        <f t="shared" si="4"/>
        <v>1384.53</v>
      </c>
      <c r="J149" s="2" t="s">
        <v>302</v>
      </c>
      <c r="K149" s="1">
        <f t="shared" si="5"/>
        <v>0.36</v>
      </c>
      <c r="L149" s="2" t="s">
        <v>48</v>
      </c>
      <c r="M149" s="1">
        <f t="shared" si="6"/>
        <v>0.02</v>
      </c>
      <c r="N149" s="2" t="s">
        <v>81</v>
      </c>
      <c r="O149" s="1">
        <f t="shared" si="7"/>
        <v>0.27</v>
      </c>
      <c r="P149" s="2" t="s">
        <v>101</v>
      </c>
      <c r="Q149" s="1">
        <f t="shared" si="8"/>
        <v>0.37</v>
      </c>
      <c r="R149" s="2" t="s">
        <v>300</v>
      </c>
      <c r="S149" s="1">
        <f t="shared" si="9"/>
        <v>0.47</v>
      </c>
      <c r="T149" s="2" t="s">
        <v>419</v>
      </c>
      <c r="U149" s="1">
        <f t="shared" si="10"/>
        <v>1.49</v>
      </c>
      <c r="V149" s="2" t="s">
        <v>63</v>
      </c>
      <c r="W149" s="1">
        <f t="shared" si="11"/>
        <v>0.25</v>
      </c>
      <c r="X149" s="2">
        <v>0.0</v>
      </c>
      <c r="Y149" s="1">
        <f t="shared" si="12"/>
        <v>0</v>
      </c>
      <c r="Z149" s="2" t="s">
        <v>62</v>
      </c>
      <c r="AA149" s="1">
        <f t="shared" si="13"/>
        <v>0.22</v>
      </c>
      <c r="AB149" s="2" t="s">
        <v>378</v>
      </c>
      <c r="AC149" s="1">
        <f t="shared" si="14"/>
        <v>0.4</v>
      </c>
      <c r="AD149" s="2">
        <v>0.0</v>
      </c>
      <c r="AE149" s="1">
        <f t="shared" si="15"/>
        <v>0</v>
      </c>
      <c r="AF149" s="2" t="s">
        <v>64</v>
      </c>
      <c r="AG149" s="1">
        <f t="shared" si="16"/>
        <v>0.87</v>
      </c>
      <c r="AH149" s="2" t="s">
        <v>622</v>
      </c>
      <c r="AI149" s="1">
        <f t="shared" si="17"/>
        <v>-0.61</v>
      </c>
      <c r="AJ149" s="2" t="s">
        <v>412</v>
      </c>
      <c r="AK149" s="1">
        <f t="shared" si="18"/>
        <v>0.86</v>
      </c>
      <c r="AL149" s="5">
        <v>46029.0</v>
      </c>
      <c r="AM149" s="1">
        <f t="shared" si="19"/>
        <v>1.7</v>
      </c>
      <c r="AN149" s="1" t="s">
        <v>124</v>
      </c>
    </row>
    <row r="150">
      <c r="A150" s="1" t="s">
        <v>840</v>
      </c>
      <c r="B150" s="1" t="s">
        <v>33</v>
      </c>
      <c r="C150" s="2" t="s">
        <v>841</v>
      </c>
      <c r="D150" s="1">
        <f t="shared" si="1"/>
        <v>28.29</v>
      </c>
      <c r="E150" s="2" t="s">
        <v>111</v>
      </c>
      <c r="F150" s="1">
        <f t="shared" si="2"/>
        <v>0.83</v>
      </c>
      <c r="G150" s="1" t="str">
        <f t="shared" si="3"/>
        <v>Very High</v>
      </c>
      <c r="H150" s="2" t="s">
        <v>842</v>
      </c>
      <c r="I150" s="1">
        <f t="shared" si="4"/>
        <v>23593.8</v>
      </c>
      <c r="J150" s="2" t="s">
        <v>128</v>
      </c>
      <c r="K150" s="1">
        <f t="shared" si="5"/>
        <v>0.74</v>
      </c>
      <c r="L150" s="2" t="s">
        <v>81</v>
      </c>
      <c r="M150" s="1">
        <f t="shared" si="6"/>
        <v>0.27</v>
      </c>
      <c r="N150" s="2" t="s">
        <v>81</v>
      </c>
      <c r="O150" s="1">
        <f t="shared" si="7"/>
        <v>0.27</v>
      </c>
      <c r="P150" s="5">
        <v>46133.0</v>
      </c>
      <c r="Q150" s="1">
        <f t="shared" si="8"/>
        <v>4.21</v>
      </c>
      <c r="R150" s="2" t="s">
        <v>41</v>
      </c>
      <c r="S150" s="1">
        <f t="shared" si="9"/>
        <v>0.08</v>
      </c>
      <c r="T150" s="2" t="s">
        <v>843</v>
      </c>
      <c r="U150" s="1">
        <f t="shared" si="10"/>
        <v>5.61</v>
      </c>
      <c r="V150" s="2" t="s">
        <v>93</v>
      </c>
      <c r="W150" s="1">
        <f t="shared" si="11"/>
        <v>0.09</v>
      </c>
      <c r="X150" s="2" t="s">
        <v>92</v>
      </c>
      <c r="Y150" s="1">
        <f t="shared" si="12"/>
        <v>0.12</v>
      </c>
      <c r="Z150" s="2" t="s">
        <v>68</v>
      </c>
      <c r="AA150" s="1">
        <f t="shared" si="13"/>
        <v>0.07</v>
      </c>
      <c r="AB150" s="2" t="s">
        <v>42</v>
      </c>
      <c r="AC150" s="1">
        <f t="shared" si="14"/>
        <v>0.18</v>
      </c>
      <c r="AD150" s="2" t="s">
        <v>49</v>
      </c>
      <c r="AE150" s="1">
        <f t="shared" si="15"/>
        <v>0.04</v>
      </c>
      <c r="AF150" s="2" t="s">
        <v>51</v>
      </c>
      <c r="AG150" s="1">
        <f t="shared" si="16"/>
        <v>0.5</v>
      </c>
      <c r="AH150" s="2" t="s">
        <v>844</v>
      </c>
      <c r="AI150" s="1">
        <f t="shared" si="17"/>
        <v>-5.12</v>
      </c>
      <c r="AJ150" s="5">
        <v>46105.0</v>
      </c>
      <c r="AK150" s="1">
        <f t="shared" si="18"/>
        <v>3.24</v>
      </c>
      <c r="AL150" s="5">
        <v>46354.0</v>
      </c>
      <c r="AM150" s="1">
        <f t="shared" si="19"/>
        <v>11.28</v>
      </c>
      <c r="AN150" s="1" t="s">
        <v>164</v>
      </c>
    </row>
    <row r="151">
      <c r="A151" s="1" t="s">
        <v>845</v>
      </c>
      <c r="B151" s="1" t="s">
        <v>73</v>
      </c>
      <c r="C151" s="2" t="s">
        <v>846</v>
      </c>
      <c r="D151" s="1">
        <f t="shared" si="1"/>
        <v>13.73</v>
      </c>
      <c r="E151" s="2" t="s">
        <v>36</v>
      </c>
      <c r="F151" s="1">
        <f t="shared" si="2"/>
        <v>0.46</v>
      </c>
      <c r="G151" s="1" t="str">
        <f t="shared" si="3"/>
        <v>Low</v>
      </c>
      <c r="H151" s="2" t="s">
        <v>847</v>
      </c>
      <c r="I151" s="1">
        <f t="shared" si="4"/>
        <v>1079.27</v>
      </c>
      <c r="J151" s="2" t="s">
        <v>130</v>
      </c>
      <c r="K151" s="1">
        <f t="shared" si="5"/>
        <v>0.34</v>
      </c>
      <c r="L151" s="2" t="s">
        <v>66</v>
      </c>
      <c r="M151" s="1">
        <f t="shared" si="6"/>
        <v>0.21</v>
      </c>
      <c r="N151" s="2" t="s">
        <v>66</v>
      </c>
      <c r="O151" s="1">
        <f t="shared" si="7"/>
        <v>0.21</v>
      </c>
      <c r="P151" s="2" t="s">
        <v>38</v>
      </c>
      <c r="Q151" s="1">
        <f t="shared" si="8"/>
        <v>0.3</v>
      </c>
      <c r="R151" s="2" t="s">
        <v>92</v>
      </c>
      <c r="S151" s="1">
        <f t="shared" si="9"/>
        <v>0.12</v>
      </c>
      <c r="T151" s="5">
        <v>46043.0</v>
      </c>
      <c r="U151" s="1">
        <f t="shared" si="10"/>
        <v>1.21</v>
      </c>
      <c r="V151" s="2" t="s">
        <v>66</v>
      </c>
      <c r="W151" s="1">
        <f t="shared" si="11"/>
        <v>0.21</v>
      </c>
      <c r="X151" s="2" t="s">
        <v>79</v>
      </c>
      <c r="Y151" s="1">
        <f t="shared" si="12"/>
        <v>0.17</v>
      </c>
      <c r="Z151" s="2" t="s">
        <v>36</v>
      </c>
      <c r="AA151" s="1">
        <f t="shared" si="13"/>
        <v>0.46</v>
      </c>
      <c r="AB151" s="2" t="s">
        <v>79</v>
      </c>
      <c r="AC151" s="1">
        <f t="shared" si="14"/>
        <v>0.17</v>
      </c>
      <c r="AD151" s="2" t="s">
        <v>48</v>
      </c>
      <c r="AE151" s="1">
        <f t="shared" si="15"/>
        <v>0.02</v>
      </c>
      <c r="AF151" s="6">
        <v>46027.0</v>
      </c>
      <c r="AG151" s="1">
        <f t="shared" si="16"/>
        <v>1.05</v>
      </c>
      <c r="AH151" s="2" t="s">
        <v>848</v>
      </c>
      <c r="AI151" s="1">
        <f t="shared" si="17"/>
        <v>-0.16</v>
      </c>
      <c r="AJ151" s="2" t="s">
        <v>305</v>
      </c>
      <c r="AK151" s="1">
        <f t="shared" si="18"/>
        <v>0.7</v>
      </c>
      <c r="AL151" s="5">
        <v>46038.0</v>
      </c>
      <c r="AM151" s="1">
        <f t="shared" si="19"/>
        <v>1.16</v>
      </c>
      <c r="AN151" s="1">
        <v>5.0</v>
      </c>
    </row>
    <row r="152">
      <c r="A152" s="1" t="s">
        <v>849</v>
      </c>
      <c r="B152" s="1" t="s">
        <v>58</v>
      </c>
      <c r="C152" s="2" t="s">
        <v>183</v>
      </c>
      <c r="D152" s="1">
        <f t="shared" si="1"/>
        <v>9.55</v>
      </c>
      <c r="E152" s="2" t="s">
        <v>376</v>
      </c>
      <c r="F152" s="1">
        <f t="shared" si="2"/>
        <v>0.76</v>
      </c>
      <c r="G152" s="1" t="str">
        <f t="shared" si="3"/>
        <v>High</v>
      </c>
      <c r="H152" s="2" t="s">
        <v>850</v>
      </c>
      <c r="I152" s="1">
        <f t="shared" si="4"/>
        <v>6426.18</v>
      </c>
      <c r="J152" s="2" t="s">
        <v>231</v>
      </c>
      <c r="K152" s="1">
        <f t="shared" si="5"/>
        <v>0.49</v>
      </c>
      <c r="L152" s="2" t="s">
        <v>48</v>
      </c>
      <c r="M152" s="1">
        <f t="shared" si="6"/>
        <v>0.02</v>
      </c>
      <c r="N152" s="2" t="s">
        <v>36</v>
      </c>
      <c r="O152" s="1">
        <f t="shared" si="7"/>
        <v>0.46</v>
      </c>
      <c r="P152" s="2" t="s">
        <v>468</v>
      </c>
      <c r="Q152" s="1">
        <f t="shared" si="8"/>
        <v>1.66</v>
      </c>
      <c r="R152" s="2" t="s">
        <v>48</v>
      </c>
      <c r="S152" s="1">
        <f t="shared" si="9"/>
        <v>0.02</v>
      </c>
      <c r="T152" s="5">
        <v>46060.0</v>
      </c>
      <c r="U152" s="1">
        <f t="shared" si="10"/>
        <v>2.7</v>
      </c>
      <c r="V152" s="2" t="s">
        <v>59</v>
      </c>
      <c r="W152" s="1">
        <f t="shared" si="11"/>
        <v>0.73</v>
      </c>
      <c r="X152" s="2" t="s">
        <v>48</v>
      </c>
      <c r="Y152" s="1">
        <f t="shared" si="12"/>
        <v>0.02</v>
      </c>
      <c r="Z152" s="2" t="s">
        <v>36</v>
      </c>
      <c r="AA152" s="1">
        <f t="shared" si="13"/>
        <v>0.46</v>
      </c>
      <c r="AB152" s="2">
        <v>0.0</v>
      </c>
      <c r="AC152" s="1">
        <f t="shared" si="14"/>
        <v>0</v>
      </c>
      <c r="AD152" s="2" t="s">
        <v>49</v>
      </c>
      <c r="AE152" s="1">
        <f t="shared" si="15"/>
        <v>0.04</v>
      </c>
      <c r="AF152" s="5">
        <v>46047.0</v>
      </c>
      <c r="AG152" s="1">
        <f t="shared" si="16"/>
        <v>1.25</v>
      </c>
      <c r="AH152" s="2" t="s">
        <v>851</v>
      </c>
      <c r="AI152" s="1">
        <f t="shared" si="17"/>
        <v>-1.44</v>
      </c>
      <c r="AJ152" s="2" t="s">
        <v>752</v>
      </c>
      <c r="AK152" s="1">
        <f t="shared" si="18"/>
        <v>1.56</v>
      </c>
      <c r="AL152" s="5">
        <v>46068.0</v>
      </c>
      <c r="AM152" s="1">
        <f t="shared" si="19"/>
        <v>2.15</v>
      </c>
      <c r="AN152" s="1">
        <v>5.0</v>
      </c>
    </row>
    <row r="153">
      <c r="A153" s="1" t="s">
        <v>852</v>
      </c>
      <c r="B153" s="1" t="s">
        <v>73</v>
      </c>
      <c r="C153" s="2" t="s">
        <v>853</v>
      </c>
      <c r="D153" s="1">
        <f t="shared" si="1"/>
        <v>5.98</v>
      </c>
      <c r="E153" s="2" t="s">
        <v>378</v>
      </c>
      <c r="F153" s="1">
        <f t="shared" si="2"/>
        <v>0.4</v>
      </c>
      <c r="G153" s="1" t="str">
        <f t="shared" si="3"/>
        <v>Low</v>
      </c>
      <c r="H153" s="2" t="s">
        <v>854</v>
      </c>
      <c r="I153" s="1">
        <f t="shared" si="4"/>
        <v>499.89</v>
      </c>
      <c r="J153" s="2" t="s">
        <v>300</v>
      </c>
      <c r="K153" s="1">
        <f t="shared" si="5"/>
        <v>0.47</v>
      </c>
      <c r="L153" s="2" t="s">
        <v>149</v>
      </c>
      <c r="M153" s="1">
        <f t="shared" si="6"/>
        <v>0.11</v>
      </c>
      <c r="N153" s="2" t="s">
        <v>199</v>
      </c>
      <c r="O153" s="1">
        <f t="shared" si="7"/>
        <v>0.38</v>
      </c>
      <c r="P153" s="2" t="s">
        <v>68</v>
      </c>
      <c r="Q153" s="1">
        <f t="shared" si="8"/>
        <v>0.07</v>
      </c>
      <c r="R153" s="2" t="s">
        <v>91</v>
      </c>
      <c r="S153" s="1">
        <f t="shared" si="9"/>
        <v>0.15</v>
      </c>
      <c r="T153" s="5">
        <v>46046.0</v>
      </c>
      <c r="U153" s="1">
        <f t="shared" si="10"/>
        <v>1.24</v>
      </c>
      <c r="V153" s="2" t="s">
        <v>201</v>
      </c>
      <c r="W153" s="1">
        <f t="shared" si="11"/>
        <v>0.42</v>
      </c>
      <c r="X153" s="2" t="s">
        <v>293</v>
      </c>
      <c r="Y153" s="1">
        <f t="shared" si="12"/>
        <v>0.35</v>
      </c>
      <c r="Z153" s="2" t="s">
        <v>178</v>
      </c>
      <c r="AA153" s="1">
        <f t="shared" si="13"/>
        <v>0.19</v>
      </c>
      <c r="AB153" s="2" t="s">
        <v>62</v>
      </c>
      <c r="AC153" s="1">
        <f t="shared" si="14"/>
        <v>0.22</v>
      </c>
      <c r="AD153" s="2" t="s">
        <v>181</v>
      </c>
      <c r="AE153" s="1">
        <f t="shared" si="15"/>
        <v>0.05</v>
      </c>
      <c r="AF153" s="5">
        <v>46046.0</v>
      </c>
      <c r="AG153" s="1">
        <f t="shared" si="16"/>
        <v>1.24</v>
      </c>
      <c r="AH153" s="2">
        <v>0.0</v>
      </c>
      <c r="AI153" s="1">
        <f t="shared" si="17"/>
        <v>0</v>
      </c>
      <c r="AJ153" s="2" t="s">
        <v>163</v>
      </c>
      <c r="AK153" s="1">
        <f t="shared" si="18"/>
        <v>0.71</v>
      </c>
      <c r="AL153" s="2">
        <v>1.0</v>
      </c>
      <c r="AM153" s="1">
        <f t="shared" si="19"/>
        <v>1</v>
      </c>
      <c r="AN153" s="1">
        <v>6.0</v>
      </c>
    </row>
    <row r="154">
      <c r="A154" s="1" t="s">
        <v>855</v>
      </c>
      <c r="B154" s="1" t="s">
        <v>134</v>
      </c>
      <c r="C154" s="5">
        <v>46145.0</v>
      </c>
      <c r="D154" s="1">
        <f t="shared" si="1"/>
        <v>5.3</v>
      </c>
      <c r="E154" s="2" t="s">
        <v>215</v>
      </c>
      <c r="F154" s="1">
        <f t="shared" si="2"/>
        <v>0.91</v>
      </c>
      <c r="G154" s="1" t="str">
        <f t="shared" si="3"/>
        <v>Very High</v>
      </c>
      <c r="H154" s="2" t="s">
        <v>856</v>
      </c>
      <c r="I154" s="1">
        <f t="shared" si="4"/>
        <v>53122.4</v>
      </c>
      <c r="J154" s="2" t="s">
        <v>254</v>
      </c>
      <c r="K154" s="1">
        <f t="shared" si="5"/>
        <v>0.67</v>
      </c>
      <c r="L154" s="2" t="s">
        <v>45</v>
      </c>
      <c r="M154" s="1">
        <f t="shared" si="6"/>
        <v>0.24</v>
      </c>
      <c r="N154" s="2" t="s">
        <v>215</v>
      </c>
      <c r="O154" s="1">
        <f t="shared" si="7"/>
        <v>0.91</v>
      </c>
      <c r="P154" s="2" t="s">
        <v>857</v>
      </c>
      <c r="Q154" s="1">
        <f t="shared" si="8"/>
        <v>5.91</v>
      </c>
      <c r="R154" s="2" t="s">
        <v>62</v>
      </c>
      <c r="S154" s="1">
        <f t="shared" si="9"/>
        <v>0.22</v>
      </c>
      <c r="T154" s="2" t="s">
        <v>858</v>
      </c>
      <c r="U154" s="1">
        <f t="shared" si="10"/>
        <v>7.97</v>
      </c>
      <c r="V154" s="2">
        <v>0.0</v>
      </c>
      <c r="W154" s="1">
        <f t="shared" si="11"/>
        <v>0</v>
      </c>
      <c r="X154" s="2">
        <v>0.0</v>
      </c>
      <c r="Y154" s="1">
        <f t="shared" si="12"/>
        <v>0</v>
      </c>
      <c r="Z154" s="2">
        <v>0.0</v>
      </c>
      <c r="AA154" s="1">
        <f t="shared" si="13"/>
        <v>0</v>
      </c>
      <c r="AB154" s="2" t="s">
        <v>80</v>
      </c>
      <c r="AC154" s="1">
        <f t="shared" si="14"/>
        <v>0.01</v>
      </c>
      <c r="AD154" s="2" t="s">
        <v>82</v>
      </c>
      <c r="AE154" s="1">
        <f t="shared" si="15"/>
        <v>0.03</v>
      </c>
      <c r="AF154" s="2" t="s">
        <v>181</v>
      </c>
      <c r="AG154" s="1">
        <f t="shared" si="16"/>
        <v>0.05</v>
      </c>
      <c r="AH154" s="2" t="s">
        <v>859</v>
      </c>
      <c r="AI154" s="1">
        <f t="shared" si="17"/>
        <v>-7.92</v>
      </c>
      <c r="AJ154" s="2" t="s">
        <v>582</v>
      </c>
      <c r="AK154" s="1">
        <f t="shared" si="18"/>
        <v>4.61</v>
      </c>
      <c r="AL154" s="2" t="s">
        <v>860</v>
      </c>
      <c r="AM154" s="1">
        <f t="shared" si="19"/>
        <v>159.47</v>
      </c>
      <c r="AN154" s="1">
        <v>5.0</v>
      </c>
    </row>
    <row r="155">
      <c r="A155" s="1" t="s">
        <v>861</v>
      </c>
      <c r="B155" s="1" t="s">
        <v>143</v>
      </c>
      <c r="C155" s="2" t="s">
        <v>862</v>
      </c>
      <c r="D155" s="1">
        <f t="shared" si="1"/>
        <v>5.45</v>
      </c>
      <c r="E155" s="2" t="s">
        <v>344</v>
      </c>
      <c r="F155" s="1">
        <f t="shared" si="2"/>
        <v>0.84</v>
      </c>
      <c r="G155" s="1" t="str">
        <f t="shared" si="3"/>
        <v>Very High</v>
      </c>
      <c r="H155" s="2" t="s">
        <v>863</v>
      </c>
      <c r="I155" s="1">
        <f t="shared" si="4"/>
        <v>18103.1</v>
      </c>
      <c r="J155" s="2" t="s">
        <v>285</v>
      </c>
      <c r="K155" s="1">
        <f t="shared" si="5"/>
        <v>0.31</v>
      </c>
      <c r="L155" s="2" t="s">
        <v>41</v>
      </c>
      <c r="M155" s="1">
        <f t="shared" si="6"/>
        <v>0.08</v>
      </c>
      <c r="N155" s="2" t="s">
        <v>186</v>
      </c>
      <c r="O155" s="1">
        <f t="shared" si="7"/>
        <v>0.72</v>
      </c>
      <c r="P155" s="2" t="s">
        <v>785</v>
      </c>
      <c r="Q155" s="1">
        <f t="shared" si="8"/>
        <v>2.82</v>
      </c>
      <c r="R155" s="2" t="s">
        <v>82</v>
      </c>
      <c r="S155" s="1">
        <f t="shared" si="9"/>
        <v>0.03</v>
      </c>
      <c r="T155" s="6">
        <v>46118.0</v>
      </c>
      <c r="U155" s="1">
        <f t="shared" si="10"/>
        <v>4.06</v>
      </c>
      <c r="V155" s="2" t="s">
        <v>163</v>
      </c>
      <c r="W155" s="1">
        <f t="shared" si="11"/>
        <v>0.71</v>
      </c>
      <c r="X155" s="2" t="s">
        <v>69</v>
      </c>
      <c r="Y155" s="1">
        <f t="shared" si="12"/>
        <v>0.06</v>
      </c>
      <c r="Z155" s="2" t="s">
        <v>864</v>
      </c>
      <c r="AA155" s="1">
        <f t="shared" si="13"/>
        <v>1.85</v>
      </c>
      <c r="AB155" s="2">
        <v>0.0</v>
      </c>
      <c r="AC155" s="1">
        <f t="shared" si="14"/>
        <v>0</v>
      </c>
      <c r="AD155" s="2" t="s">
        <v>93</v>
      </c>
      <c r="AE155" s="1">
        <f t="shared" si="15"/>
        <v>0.09</v>
      </c>
      <c r="AF155" s="2" t="s">
        <v>184</v>
      </c>
      <c r="AG155" s="1">
        <f t="shared" si="16"/>
        <v>2.71</v>
      </c>
      <c r="AH155" s="2" t="s">
        <v>135</v>
      </c>
      <c r="AI155" s="1">
        <f t="shared" si="17"/>
        <v>-1.35</v>
      </c>
      <c r="AJ155" s="2" t="s">
        <v>713</v>
      </c>
      <c r="AK155" s="1">
        <f t="shared" si="18"/>
        <v>2.35</v>
      </c>
      <c r="AL155" s="5">
        <v>46027.0</v>
      </c>
      <c r="AM155" s="1">
        <f t="shared" si="19"/>
        <v>1.5</v>
      </c>
      <c r="AN155" s="1">
        <v>5.0</v>
      </c>
    </row>
    <row r="156">
      <c r="A156" s="1" t="s">
        <v>865</v>
      </c>
      <c r="B156" s="1" t="s">
        <v>143</v>
      </c>
      <c r="C156" s="6">
        <v>46060.0</v>
      </c>
      <c r="D156" s="1">
        <f t="shared" si="1"/>
        <v>2.07</v>
      </c>
      <c r="E156" s="2" t="s">
        <v>159</v>
      </c>
      <c r="F156" s="1">
        <f t="shared" si="2"/>
        <v>0.88</v>
      </c>
      <c r="G156" s="1" t="str">
        <f t="shared" si="3"/>
        <v>Very High</v>
      </c>
      <c r="H156" s="2" t="s">
        <v>866</v>
      </c>
      <c r="I156" s="1">
        <f t="shared" si="4"/>
        <v>25040.5</v>
      </c>
      <c r="J156" s="2" t="s">
        <v>96</v>
      </c>
      <c r="K156" s="1">
        <f t="shared" si="5"/>
        <v>0.64</v>
      </c>
      <c r="L156" s="2" t="s">
        <v>79</v>
      </c>
      <c r="M156" s="1">
        <f t="shared" si="6"/>
        <v>0.17</v>
      </c>
      <c r="N156" s="2" t="s">
        <v>250</v>
      </c>
      <c r="O156" s="1">
        <f t="shared" si="7"/>
        <v>0.65</v>
      </c>
      <c r="P156" s="5">
        <v>46139.0</v>
      </c>
      <c r="Q156" s="1">
        <f t="shared" si="8"/>
        <v>4.27</v>
      </c>
      <c r="R156" s="2" t="s">
        <v>181</v>
      </c>
      <c r="S156" s="1">
        <f t="shared" si="9"/>
        <v>0.05</v>
      </c>
      <c r="T156" s="2" t="s">
        <v>152</v>
      </c>
      <c r="U156" s="1">
        <f t="shared" si="10"/>
        <v>5.81</v>
      </c>
      <c r="V156" s="2" t="s">
        <v>101</v>
      </c>
      <c r="W156" s="1">
        <f t="shared" si="11"/>
        <v>0.37</v>
      </c>
      <c r="X156" s="2" t="s">
        <v>68</v>
      </c>
      <c r="Y156" s="1">
        <f t="shared" si="12"/>
        <v>0.07</v>
      </c>
      <c r="Z156" s="2" t="s">
        <v>71</v>
      </c>
      <c r="AA156" s="1">
        <f t="shared" si="13"/>
        <v>1.87</v>
      </c>
      <c r="AB156" s="2">
        <v>0.0</v>
      </c>
      <c r="AC156" s="1">
        <f t="shared" si="14"/>
        <v>0</v>
      </c>
      <c r="AD156" s="2" t="s">
        <v>49</v>
      </c>
      <c r="AE156" s="1">
        <f t="shared" si="15"/>
        <v>0.04</v>
      </c>
      <c r="AF156" s="2" t="s">
        <v>713</v>
      </c>
      <c r="AG156" s="1">
        <f t="shared" si="16"/>
        <v>2.35</v>
      </c>
      <c r="AH156" s="2" t="s">
        <v>806</v>
      </c>
      <c r="AI156" s="1">
        <f t="shared" si="17"/>
        <v>-3.47</v>
      </c>
      <c r="AJ156" s="2" t="s">
        <v>867</v>
      </c>
      <c r="AK156" s="1">
        <f t="shared" si="18"/>
        <v>3.36</v>
      </c>
      <c r="AL156" s="2" t="s">
        <v>312</v>
      </c>
      <c r="AM156" s="1">
        <f t="shared" si="19"/>
        <v>2.48</v>
      </c>
      <c r="AN156" s="1">
        <v>6.0</v>
      </c>
    </row>
    <row r="157">
      <c r="A157" s="1" t="s">
        <v>868</v>
      </c>
      <c r="B157" s="1" t="s">
        <v>134</v>
      </c>
      <c r="C157" s="2" t="s">
        <v>65</v>
      </c>
      <c r="D157" s="1">
        <f t="shared" si="1"/>
        <v>0.55</v>
      </c>
      <c r="E157" s="2" t="s">
        <v>51</v>
      </c>
      <c r="F157" s="1">
        <f t="shared" si="2"/>
        <v>0.5</v>
      </c>
      <c r="G157" s="1" t="str">
        <f t="shared" si="3"/>
        <v>Low</v>
      </c>
      <c r="H157" s="2" t="s">
        <v>869</v>
      </c>
      <c r="I157" s="1">
        <f t="shared" si="4"/>
        <v>1647.86</v>
      </c>
      <c r="J157" s="2" t="s">
        <v>300</v>
      </c>
      <c r="K157" s="1">
        <f t="shared" si="5"/>
        <v>0.47</v>
      </c>
      <c r="L157" s="2" t="s">
        <v>82</v>
      </c>
      <c r="M157" s="1">
        <f t="shared" si="6"/>
        <v>0.03</v>
      </c>
      <c r="N157" s="2" t="s">
        <v>93</v>
      </c>
      <c r="O157" s="1">
        <f t="shared" si="7"/>
        <v>0.09</v>
      </c>
      <c r="P157" s="2">
        <v>0.0</v>
      </c>
      <c r="Q157" s="1">
        <f t="shared" si="8"/>
        <v>0</v>
      </c>
      <c r="R157" s="2" t="s">
        <v>36</v>
      </c>
      <c r="S157" s="1">
        <f t="shared" si="9"/>
        <v>0.46</v>
      </c>
      <c r="T157" s="5">
        <v>46051.0</v>
      </c>
      <c r="U157" s="1">
        <f t="shared" si="10"/>
        <v>1.29</v>
      </c>
      <c r="V157" s="2" t="s">
        <v>118</v>
      </c>
      <c r="W157" s="1">
        <f t="shared" si="11"/>
        <v>0.66</v>
      </c>
      <c r="X157" s="2" t="s">
        <v>80</v>
      </c>
      <c r="Y157" s="1">
        <f t="shared" si="12"/>
        <v>0.01</v>
      </c>
      <c r="Z157" s="5">
        <v>46081.0</v>
      </c>
      <c r="AA157" s="1">
        <f t="shared" si="13"/>
        <v>2.28</v>
      </c>
      <c r="AB157" s="5">
        <v>46041.0</v>
      </c>
      <c r="AC157" s="1">
        <f t="shared" si="14"/>
        <v>1.19</v>
      </c>
      <c r="AD157" s="2" t="s">
        <v>365</v>
      </c>
      <c r="AE157" s="1">
        <f t="shared" si="15"/>
        <v>0.23</v>
      </c>
      <c r="AF157" s="2" t="s">
        <v>349</v>
      </c>
      <c r="AG157" s="1">
        <f t="shared" si="16"/>
        <v>4.36</v>
      </c>
      <c r="AH157" s="6">
        <v>46089.0</v>
      </c>
      <c r="AI157" s="1">
        <f t="shared" si="17"/>
        <v>3.08</v>
      </c>
      <c r="AJ157" s="2" t="s">
        <v>128</v>
      </c>
      <c r="AK157" s="1">
        <f t="shared" si="18"/>
        <v>0.74</v>
      </c>
      <c r="AL157" s="2" t="s">
        <v>67</v>
      </c>
      <c r="AM157" s="1">
        <f t="shared" si="19"/>
        <v>0.29</v>
      </c>
      <c r="AN157" s="1" t="s">
        <v>164</v>
      </c>
    </row>
    <row r="158">
      <c r="A158" s="1" t="s">
        <v>870</v>
      </c>
      <c r="B158" s="1" t="s">
        <v>73</v>
      </c>
      <c r="C158" s="5">
        <v>46297.0</v>
      </c>
      <c r="D158" s="1">
        <f t="shared" si="1"/>
        <v>10.2</v>
      </c>
      <c r="F158" s="1" t="str">
        <f t="shared" si="2"/>
        <v/>
      </c>
      <c r="G158" s="1" t="str">
        <f t="shared" si="3"/>
        <v>Unknown</v>
      </c>
      <c r="I158" s="1" t="str">
        <f t="shared" si="4"/>
        <v/>
      </c>
      <c r="J158" s="2" t="s">
        <v>78</v>
      </c>
      <c r="K158" s="1">
        <f t="shared" si="5"/>
        <v>0.16</v>
      </c>
      <c r="L158" s="2" t="s">
        <v>248</v>
      </c>
      <c r="M158" s="1">
        <f t="shared" si="6"/>
        <v>0.43</v>
      </c>
      <c r="N158" s="2" t="s">
        <v>88</v>
      </c>
      <c r="O158" s="1">
        <f t="shared" si="7"/>
        <v>0.52</v>
      </c>
      <c r="P158" s="2" t="s">
        <v>68</v>
      </c>
      <c r="Q158" s="1">
        <f t="shared" si="8"/>
        <v>0.07</v>
      </c>
      <c r="R158" s="2" t="s">
        <v>80</v>
      </c>
      <c r="S158" s="1">
        <f t="shared" si="9"/>
        <v>0.01</v>
      </c>
      <c r="T158" s="5">
        <v>46046.0</v>
      </c>
      <c r="U158" s="1">
        <f t="shared" si="10"/>
        <v>1.24</v>
      </c>
      <c r="V158" s="2" t="s">
        <v>93</v>
      </c>
      <c r="W158" s="1">
        <f t="shared" si="11"/>
        <v>0.09</v>
      </c>
      <c r="X158" s="2" t="s">
        <v>157</v>
      </c>
      <c r="Y158" s="1">
        <f t="shared" si="12"/>
        <v>0.56</v>
      </c>
      <c r="Z158" s="2" t="s">
        <v>62</v>
      </c>
      <c r="AA158" s="1">
        <f t="shared" si="13"/>
        <v>0.22</v>
      </c>
      <c r="AB158" s="2" t="s">
        <v>90</v>
      </c>
      <c r="AC158" s="1">
        <f t="shared" si="14"/>
        <v>0.33</v>
      </c>
      <c r="AD158" s="2" t="s">
        <v>69</v>
      </c>
      <c r="AE158" s="1">
        <f t="shared" si="15"/>
        <v>0.06</v>
      </c>
      <c r="AF158" s="5">
        <v>46049.0</v>
      </c>
      <c r="AG158" s="1">
        <f t="shared" si="16"/>
        <v>1.27</v>
      </c>
      <c r="AH158" s="2" t="s">
        <v>82</v>
      </c>
      <c r="AI158" s="1">
        <f t="shared" si="17"/>
        <v>0.03</v>
      </c>
      <c r="AJ158" s="2" t="s">
        <v>163</v>
      </c>
      <c r="AK158" s="1">
        <f t="shared" si="18"/>
        <v>0.71</v>
      </c>
      <c r="AL158" s="2" t="s">
        <v>303</v>
      </c>
      <c r="AM158" s="1">
        <f t="shared" si="19"/>
        <v>0.98</v>
      </c>
      <c r="AN158" s="1">
        <v>5.0</v>
      </c>
    </row>
    <row r="159">
      <c r="A159" s="1" t="s">
        <v>871</v>
      </c>
      <c r="B159" s="1" t="s">
        <v>73</v>
      </c>
      <c r="C159" s="2" t="s">
        <v>872</v>
      </c>
      <c r="D159" s="1">
        <f t="shared" si="1"/>
        <v>52.39</v>
      </c>
      <c r="E159" s="2" t="s">
        <v>118</v>
      </c>
      <c r="F159" s="1">
        <f t="shared" si="2"/>
        <v>0.66</v>
      </c>
      <c r="G159" s="1" t="str">
        <f t="shared" si="3"/>
        <v>Medium</v>
      </c>
      <c r="H159" s="2" t="s">
        <v>873</v>
      </c>
      <c r="I159" s="1">
        <f t="shared" si="4"/>
        <v>8089.87</v>
      </c>
      <c r="J159" s="2" t="s">
        <v>132</v>
      </c>
      <c r="K159" s="1">
        <f t="shared" si="5"/>
        <v>0.44</v>
      </c>
      <c r="L159" s="2" t="s">
        <v>149</v>
      </c>
      <c r="M159" s="1">
        <f t="shared" si="6"/>
        <v>0.11</v>
      </c>
      <c r="N159" s="2" t="s">
        <v>67</v>
      </c>
      <c r="O159" s="1">
        <f t="shared" si="7"/>
        <v>0.29</v>
      </c>
      <c r="P159" s="2" t="s">
        <v>290</v>
      </c>
      <c r="Q159" s="1">
        <f t="shared" si="8"/>
        <v>2.34</v>
      </c>
      <c r="R159" s="2" t="s">
        <v>41</v>
      </c>
      <c r="S159" s="1">
        <f t="shared" si="9"/>
        <v>0.08</v>
      </c>
      <c r="T159" s="5">
        <v>46112.0</v>
      </c>
      <c r="U159" s="1">
        <f t="shared" si="10"/>
        <v>3.31</v>
      </c>
      <c r="V159" s="2" t="s">
        <v>293</v>
      </c>
      <c r="W159" s="1">
        <f t="shared" si="11"/>
        <v>0.35</v>
      </c>
      <c r="X159" s="2" t="s">
        <v>191</v>
      </c>
      <c r="Y159" s="1">
        <f t="shared" si="12"/>
        <v>0.58</v>
      </c>
      <c r="Z159" s="2" t="s">
        <v>48</v>
      </c>
      <c r="AA159" s="1">
        <f t="shared" si="13"/>
        <v>0.02</v>
      </c>
      <c r="AB159" s="2" t="s">
        <v>79</v>
      </c>
      <c r="AC159" s="1">
        <f t="shared" si="14"/>
        <v>0.17</v>
      </c>
      <c r="AD159" s="2" t="s">
        <v>49</v>
      </c>
      <c r="AE159" s="1">
        <f t="shared" si="15"/>
        <v>0.04</v>
      </c>
      <c r="AF159" s="5">
        <v>46037.0</v>
      </c>
      <c r="AG159" s="1">
        <f t="shared" si="16"/>
        <v>1.15</v>
      </c>
      <c r="AH159" s="2" t="s">
        <v>874</v>
      </c>
      <c r="AI159" s="1">
        <f t="shared" si="17"/>
        <v>-2.16</v>
      </c>
      <c r="AJ159" s="2" t="s">
        <v>266</v>
      </c>
      <c r="AK159" s="1">
        <f t="shared" si="18"/>
        <v>1.91</v>
      </c>
      <c r="AL159" s="2" t="s">
        <v>288</v>
      </c>
      <c r="AM159" s="1">
        <f t="shared" si="19"/>
        <v>2.87</v>
      </c>
      <c r="AN159" s="1">
        <v>5.0</v>
      </c>
    </row>
    <row r="160">
      <c r="A160" s="1" t="s">
        <v>875</v>
      </c>
      <c r="B160" s="1" t="s">
        <v>143</v>
      </c>
      <c r="C160" s="2" t="s">
        <v>876</v>
      </c>
      <c r="D160" s="1">
        <f t="shared" si="1"/>
        <v>46.76</v>
      </c>
      <c r="E160" s="2" t="s">
        <v>64</v>
      </c>
      <c r="F160" s="1">
        <f t="shared" si="2"/>
        <v>0.87</v>
      </c>
      <c r="G160" s="1" t="str">
        <f t="shared" si="3"/>
        <v>Very High</v>
      </c>
      <c r="H160" s="2" t="s">
        <v>877</v>
      </c>
      <c r="I160" s="1">
        <f t="shared" si="4"/>
        <v>32008.7</v>
      </c>
      <c r="J160" s="2" t="s">
        <v>61</v>
      </c>
      <c r="K160" s="1">
        <f t="shared" si="5"/>
        <v>0.78</v>
      </c>
      <c r="L160" s="2" t="s">
        <v>91</v>
      </c>
      <c r="M160" s="1">
        <f t="shared" si="6"/>
        <v>0.15</v>
      </c>
      <c r="N160" s="2" t="s">
        <v>79</v>
      </c>
      <c r="O160" s="1">
        <f t="shared" si="7"/>
        <v>0.17</v>
      </c>
      <c r="P160" s="5">
        <v>46075.0</v>
      </c>
      <c r="Q160" s="1">
        <f t="shared" si="8"/>
        <v>2.22</v>
      </c>
      <c r="R160" s="2" t="s">
        <v>310</v>
      </c>
      <c r="S160" s="1">
        <f t="shared" si="9"/>
        <v>0.32</v>
      </c>
      <c r="T160" s="2" t="s">
        <v>444</v>
      </c>
      <c r="U160" s="1">
        <f t="shared" si="10"/>
        <v>3.67</v>
      </c>
      <c r="V160" s="2" t="s">
        <v>186</v>
      </c>
      <c r="W160" s="1">
        <f t="shared" si="11"/>
        <v>0.72</v>
      </c>
      <c r="X160" s="2" t="s">
        <v>114</v>
      </c>
      <c r="Y160" s="1">
        <f t="shared" si="12"/>
        <v>0.1</v>
      </c>
      <c r="Z160" s="2" t="s">
        <v>130</v>
      </c>
      <c r="AA160" s="1">
        <f t="shared" si="13"/>
        <v>0.34</v>
      </c>
      <c r="AB160" s="2" t="s">
        <v>69</v>
      </c>
      <c r="AC160" s="1">
        <f t="shared" si="14"/>
        <v>0.06</v>
      </c>
      <c r="AD160" s="2" t="s">
        <v>49</v>
      </c>
      <c r="AE160" s="1">
        <f t="shared" si="15"/>
        <v>0.04</v>
      </c>
      <c r="AF160" s="5">
        <v>46047.0</v>
      </c>
      <c r="AG160" s="1">
        <f t="shared" si="16"/>
        <v>1.25</v>
      </c>
      <c r="AH160" s="2" t="s">
        <v>878</v>
      </c>
      <c r="AI160" s="1">
        <f t="shared" si="17"/>
        <v>-2.42</v>
      </c>
      <c r="AJ160" s="5">
        <v>46065.0</v>
      </c>
      <c r="AK160" s="1">
        <f t="shared" si="18"/>
        <v>2.12</v>
      </c>
      <c r="AL160" s="2" t="s">
        <v>222</v>
      </c>
      <c r="AM160" s="1">
        <f t="shared" si="19"/>
        <v>2.94</v>
      </c>
      <c r="AN160" s="1">
        <v>6.0</v>
      </c>
    </row>
    <row r="161">
      <c r="A161" s="1" t="s">
        <v>879</v>
      </c>
      <c r="B161" s="1" t="s">
        <v>134</v>
      </c>
      <c r="C161" s="2" t="s">
        <v>880</v>
      </c>
      <c r="D161" s="1">
        <f t="shared" si="1"/>
        <v>21.1</v>
      </c>
      <c r="E161" s="2" t="s">
        <v>167</v>
      </c>
      <c r="F161" s="1">
        <f t="shared" si="2"/>
        <v>0.75</v>
      </c>
      <c r="G161" s="1" t="str">
        <f t="shared" si="3"/>
        <v>High</v>
      </c>
      <c r="H161" s="2" t="s">
        <v>881</v>
      </c>
      <c r="I161" s="1">
        <f t="shared" si="4"/>
        <v>2880.03</v>
      </c>
      <c r="J161" s="2" t="s">
        <v>285</v>
      </c>
      <c r="K161" s="1">
        <f t="shared" si="5"/>
        <v>0.31</v>
      </c>
      <c r="L161" s="2" t="s">
        <v>80</v>
      </c>
      <c r="M161" s="1">
        <f t="shared" si="6"/>
        <v>0.01</v>
      </c>
      <c r="N161" s="2" t="s">
        <v>78</v>
      </c>
      <c r="O161" s="1">
        <f t="shared" si="7"/>
        <v>0.16</v>
      </c>
      <c r="P161" s="2" t="s">
        <v>88</v>
      </c>
      <c r="Q161" s="1">
        <f t="shared" si="8"/>
        <v>0.52</v>
      </c>
      <c r="R161" s="2" t="s">
        <v>81</v>
      </c>
      <c r="S161" s="1">
        <f t="shared" si="9"/>
        <v>0.27</v>
      </c>
      <c r="T161" s="2" t="s">
        <v>187</v>
      </c>
      <c r="U161" s="1">
        <f t="shared" si="10"/>
        <v>1.32</v>
      </c>
      <c r="V161" s="2" t="s">
        <v>97</v>
      </c>
      <c r="W161" s="1">
        <f t="shared" si="11"/>
        <v>0.26</v>
      </c>
      <c r="X161" s="2" t="s">
        <v>48</v>
      </c>
      <c r="Y161" s="1">
        <f t="shared" si="12"/>
        <v>0.02</v>
      </c>
      <c r="Z161" s="2" t="s">
        <v>49</v>
      </c>
      <c r="AA161" s="1">
        <f t="shared" si="13"/>
        <v>0.04</v>
      </c>
      <c r="AB161" s="2" t="s">
        <v>68</v>
      </c>
      <c r="AC161" s="1">
        <f t="shared" si="14"/>
        <v>0.07</v>
      </c>
      <c r="AD161" s="2" t="s">
        <v>181</v>
      </c>
      <c r="AE161" s="1">
        <f t="shared" si="15"/>
        <v>0.05</v>
      </c>
      <c r="AF161" s="2" t="s">
        <v>132</v>
      </c>
      <c r="AG161" s="1">
        <f t="shared" si="16"/>
        <v>0.44</v>
      </c>
      <c r="AH161" s="2" t="s">
        <v>882</v>
      </c>
      <c r="AI161" s="1">
        <f t="shared" si="17"/>
        <v>-0.88</v>
      </c>
      <c r="AJ161" s="2" t="s">
        <v>394</v>
      </c>
      <c r="AK161" s="1">
        <f t="shared" si="18"/>
        <v>0.77</v>
      </c>
      <c r="AL161" s="6">
        <v>46082.0</v>
      </c>
      <c r="AM161" s="1">
        <f t="shared" si="19"/>
        <v>3.01</v>
      </c>
      <c r="AN161" s="1">
        <v>6.0</v>
      </c>
    </row>
    <row r="162">
      <c r="A162" s="1" t="s">
        <v>883</v>
      </c>
      <c r="B162" s="1" t="s">
        <v>103</v>
      </c>
      <c r="C162" s="2" t="s">
        <v>100</v>
      </c>
      <c r="D162" s="1">
        <f t="shared" si="1"/>
        <v>0.54</v>
      </c>
      <c r="E162" s="2" t="s">
        <v>163</v>
      </c>
      <c r="F162" s="1">
        <f t="shared" si="2"/>
        <v>0.71</v>
      </c>
      <c r="G162" s="1" t="str">
        <f t="shared" si="3"/>
        <v>High</v>
      </c>
      <c r="H162" s="2" t="s">
        <v>884</v>
      </c>
      <c r="I162" s="1">
        <f t="shared" si="4"/>
        <v>8190.7</v>
      </c>
      <c r="J162" s="2" t="s">
        <v>248</v>
      </c>
      <c r="K162" s="1">
        <f t="shared" si="5"/>
        <v>0.43</v>
      </c>
      <c r="L162" s="2" t="s">
        <v>69</v>
      </c>
      <c r="M162" s="1">
        <f t="shared" si="6"/>
        <v>0.06</v>
      </c>
      <c r="N162" s="2" t="s">
        <v>88</v>
      </c>
      <c r="O162" s="1">
        <f t="shared" si="7"/>
        <v>0.52</v>
      </c>
      <c r="P162" s="6">
        <v>46082.0</v>
      </c>
      <c r="Q162" s="1">
        <f t="shared" si="8"/>
        <v>3.01</v>
      </c>
      <c r="R162" s="2" t="s">
        <v>154</v>
      </c>
      <c r="S162" s="1">
        <f t="shared" si="9"/>
        <v>0.14</v>
      </c>
      <c r="T162" s="5">
        <v>46137.0</v>
      </c>
      <c r="U162" s="1">
        <f t="shared" si="10"/>
        <v>4.25</v>
      </c>
      <c r="V162" s="2" t="s">
        <v>38</v>
      </c>
      <c r="W162" s="1">
        <f t="shared" si="11"/>
        <v>0.3</v>
      </c>
      <c r="X162" s="2" t="s">
        <v>82</v>
      </c>
      <c r="Y162" s="1">
        <f t="shared" si="12"/>
        <v>0.03</v>
      </c>
      <c r="Z162" s="2" t="s">
        <v>885</v>
      </c>
      <c r="AA162" s="1">
        <f t="shared" si="13"/>
        <v>81.52</v>
      </c>
      <c r="AB162" s="2" t="s">
        <v>886</v>
      </c>
      <c r="AC162" s="1">
        <f t="shared" si="14"/>
        <v>7.39</v>
      </c>
      <c r="AD162" s="2" t="s">
        <v>93</v>
      </c>
      <c r="AE162" s="1">
        <f t="shared" si="15"/>
        <v>0.09</v>
      </c>
      <c r="AF162" s="2" t="s">
        <v>887</v>
      </c>
      <c r="AG162" s="1">
        <f t="shared" si="16"/>
        <v>89.33</v>
      </c>
      <c r="AH162" s="2" t="s">
        <v>888</v>
      </c>
      <c r="AI162" s="1">
        <f t="shared" si="17"/>
        <v>85.08</v>
      </c>
      <c r="AJ162" s="2" t="s">
        <v>406</v>
      </c>
      <c r="AK162" s="1">
        <f t="shared" si="18"/>
        <v>2.46</v>
      </c>
      <c r="AL162" s="2" t="s">
        <v>181</v>
      </c>
      <c r="AM162" s="1">
        <f t="shared" si="19"/>
        <v>0.05</v>
      </c>
      <c r="AN162" s="1" t="s">
        <v>164</v>
      </c>
    </row>
    <row r="163">
      <c r="A163" s="1" t="s">
        <v>889</v>
      </c>
      <c r="B163" s="1" t="s">
        <v>73</v>
      </c>
      <c r="C163" s="5">
        <v>46045.0</v>
      </c>
      <c r="D163" s="1">
        <f t="shared" si="1"/>
        <v>1.23</v>
      </c>
      <c r="E163" s="2" t="s">
        <v>465</v>
      </c>
      <c r="F163" s="1">
        <f t="shared" si="2"/>
        <v>0.53</v>
      </c>
      <c r="G163" s="1" t="str">
        <f t="shared" si="3"/>
        <v>Low</v>
      </c>
      <c r="H163" s="2" t="s">
        <v>890</v>
      </c>
      <c r="I163" s="1">
        <f t="shared" si="4"/>
        <v>4657.48</v>
      </c>
      <c r="J163" s="2" t="s">
        <v>293</v>
      </c>
      <c r="K163" s="1">
        <f t="shared" si="5"/>
        <v>0.35</v>
      </c>
      <c r="L163" s="2" t="s">
        <v>283</v>
      </c>
      <c r="M163" s="1">
        <f t="shared" si="6"/>
        <v>0.41</v>
      </c>
      <c r="N163" s="2" t="s">
        <v>88</v>
      </c>
      <c r="O163" s="1">
        <f t="shared" si="7"/>
        <v>0.52</v>
      </c>
      <c r="P163" s="2" t="s">
        <v>254</v>
      </c>
      <c r="Q163" s="1">
        <f t="shared" si="8"/>
        <v>0.67</v>
      </c>
      <c r="R163" s="2" t="s">
        <v>80</v>
      </c>
      <c r="S163" s="1">
        <f t="shared" si="9"/>
        <v>0.01</v>
      </c>
      <c r="T163" s="6">
        <v>46054.0</v>
      </c>
      <c r="U163" s="1">
        <f t="shared" si="10"/>
        <v>2.01</v>
      </c>
      <c r="V163" s="2" t="s">
        <v>63</v>
      </c>
      <c r="W163" s="1">
        <f t="shared" si="11"/>
        <v>0.25</v>
      </c>
      <c r="X163" s="2" t="s">
        <v>233</v>
      </c>
      <c r="Y163" s="1">
        <f t="shared" si="12"/>
        <v>0.51</v>
      </c>
      <c r="Z163" s="2" t="s">
        <v>181</v>
      </c>
      <c r="AA163" s="1">
        <f t="shared" si="13"/>
        <v>0.05</v>
      </c>
      <c r="AB163" s="2">
        <v>0.0</v>
      </c>
      <c r="AC163" s="1">
        <f t="shared" si="14"/>
        <v>0</v>
      </c>
      <c r="AD163" s="2" t="s">
        <v>69</v>
      </c>
      <c r="AE163" s="1">
        <f t="shared" si="15"/>
        <v>0.06</v>
      </c>
      <c r="AF163" s="2" t="s">
        <v>159</v>
      </c>
      <c r="AG163" s="1">
        <f t="shared" si="16"/>
        <v>0.88</v>
      </c>
      <c r="AH163" s="2" t="s">
        <v>891</v>
      </c>
      <c r="AI163" s="1">
        <f t="shared" si="17"/>
        <v>-1.14</v>
      </c>
      <c r="AJ163" s="5">
        <v>46038.0</v>
      </c>
      <c r="AK163" s="1">
        <f t="shared" si="18"/>
        <v>1.16</v>
      </c>
      <c r="AL163" s="5">
        <v>46056.0</v>
      </c>
      <c r="AM163" s="1">
        <f t="shared" si="19"/>
        <v>2.3</v>
      </c>
      <c r="AN163" s="1" t="s">
        <v>164</v>
      </c>
    </row>
    <row r="164">
      <c r="A164" s="1" t="s">
        <v>892</v>
      </c>
      <c r="B164" s="1" t="s">
        <v>143</v>
      </c>
      <c r="C164" s="2" t="s">
        <v>893</v>
      </c>
      <c r="D164" s="1">
        <f t="shared" si="1"/>
        <v>9.51</v>
      </c>
      <c r="E164" s="2" t="s">
        <v>438</v>
      </c>
      <c r="F164" s="1">
        <f t="shared" si="2"/>
        <v>0.9</v>
      </c>
      <c r="G164" s="1" t="str">
        <f t="shared" si="3"/>
        <v>Very High</v>
      </c>
      <c r="H164" s="2" t="s">
        <v>894</v>
      </c>
      <c r="I164" s="1">
        <f t="shared" si="4"/>
        <v>59381.9</v>
      </c>
      <c r="J164" s="2" t="s">
        <v>417</v>
      </c>
      <c r="K164" s="1">
        <f t="shared" si="5"/>
        <v>1.47</v>
      </c>
      <c r="L164" s="2" t="s">
        <v>81</v>
      </c>
      <c r="M164" s="1">
        <f t="shared" si="6"/>
        <v>0.27</v>
      </c>
      <c r="N164" s="5">
        <v>46025.0</v>
      </c>
      <c r="O164" s="1">
        <f t="shared" si="7"/>
        <v>1.3</v>
      </c>
      <c r="P164" s="2" t="s">
        <v>797</v>
      </c>
      <c r="Q164" s="1">
        <f t="shared" si="8"/>
        <v>3.88</v>
      </c>
      <c r="R164" s="2" t="s">
        <v>93</v>
      </c>
      <c r="S164" s="1">
        <f t="shared" si="9"/>
        <v>0.09</v>
      </c>
      <c r="T164" s="5">
        <v>46228.0</v>
      </c>
      <c r="U164" s="1">
        <f t="shared" si="10"/>
        <v>7.25</v>
      </c>
      <c r="V164" s="5">
        <v>46053.0</v>
      </c>
      <c r="W164" s="1">
        <f t="shared" si="11"/>
        <v>1.31</v>
      </c>
      <c r="X164" s="2" t="s">
        <v>62</v>
      </c>
      <c r="Y164" s="1">
        <f t="shared" si="12"/>
        <v>0.22</v>
      </c>
      <c r="Z164" s="2" t="s">
        <v>895</v>
      </c>
      <c r="AA164" s="1">
        <f t="shared" si="13"/>
        <v>6.66</v>
      </c>
      <c r="AB164" s="5">
        <v>46072.0</v>
      </c>
      <c r="AC164" s="1">
        <f t="shared" si="14"/>
        <v>2.19</v>
      </c>
      <c r="AD164" s="2" t="s">
        <v>45</v>
      </c>
      <c r="AE164" s="1">
        <f t="shared" si="15"/>
        <v>0.24</v>
      </c>
      <c r="AF164" s="2" t="s">
        <v>896</v>
      </c>
      <c r="AG164" s="1">
        <f t="shared" si="16"/>
        <v>10.62</v>
      </c>
      <c r="AH164" s="2" t="s">
        <v>356</v>
      </c>
      <c r="AI164" s="1">
        <f t="shared" si="17"/>
        <v>3.38</v>
      </c>
      <c r="AJ164" s="5">
        <v>46131.0</v>
      </c>
      <c r="AK164" s="1">
        <f t="shared" si="18"/>
        <v>4.19</v>
      </c>
      <c r="AL164" s="2" t="s">
        <v>324</v>
      </c>
      <c r="AM164" s="1">
        <f t="shared" si="19"/>
        <v>0.68</v>
      </c>
      <c r="AN164" s="1">
        <v>5.0</v>
      </c>
    </row>
    <row r="165">
      <c r="A165" s="1" t="s">
        <v>897</v>
      </c>
      <c r="B165" s="1" t="s">
        <v>58</v>
      </c>
      <c r="C165" s="2">
        <v>8.0</v>
      </c>
      <c r="D165" s="1">
        <f t="shared" si="1"/>
        <v>8</v>
      </c>
      <c r="E165" s="2" t="s">
        <v>94</v>
      </c>
      <c r="F165" s="1">
        <f t="shared" si="2"/>
        <v>0.93</v>
      </c>
      <c r="G165" s="1" t="str">
        <f t="shared" si="3"/>
        <v>Very High</v>
      </c>
      <c r="H165" s="2" t="s">
        <v>898</v>
      </c>
      <c r="I165" s="1">
        <f t="shared" si="4"/>
        <v>88506.2</v>
      </c>
      <c r="J165" s="2" t="s">
        <v>167</v>
      </c>
      <c r="K165" s="1">
        <f t="shared" si="5"/>
        <v>0.75</v>
      </c>
      <c r="L165" s="2" t="s">
        <v>62</v>
      </c>
      <c r="M165" s="1">
        <f t="shared" si="6"/>
        <v>0.22</v>
      </c>
      <c r="N165" s="2" t="s">
        <v>199</v>
      </c>
      <c r="O165" s="1">
        <f t="shared" si="7"/>
        <v>0.38</v>
      </c>
      <c r="P165" s="5">
        <v>46138.0</v>
      </c>
      <c r="Q165" s="1">
        <f t="shared" si="8"/>
        <v>4.26</v>
      </c>
      <c r="R165" s="2" t="s">
        <v>68</v>
      </c>
      <c r="S165" s="1">
        <f t="shared" si="9"/>
        <v>0.07</v>
      </c>
      <c r="T165" s="2" t="s">
        <v>899</v>
      </c>
      <c r="U165" s="1">
        <f t="shared" si="10"/>
        <v>5.79</v>
      </c>
      <c r="V165" s="2" t="s">
        <v>310</v>
      </c>
      <c r="W165" s="1">
        <f t="shared" si="11"/>
        <v>0.32</v>
      </c>
      <c r="X165" s="2" t="s">
        <v>92</v>
      </c>
      <c r="Y165" s="1">
        <f t="shared" si="12"/>
        <v>0.12</v>
      </c>
      <c r="Z165" s="2" t="s">
        <v>128</v>
      </c>
      <c r="AA165" s="1">
        <f t="shared" si="13"/>
        <v>0.74</v>
      </c>
      <c r="AB165" s="2" t="s">
        <v>80</v>
      </c>
      <c r="AC165" s="1">
        <f t="shared" si="14"/>
        <v>0.01</v>
      </c>
      <c r="AD165" s="2" t="s">
        <v>92</v>
      </c>
      <c r="AE165" s="1">
        <f t="shared" si="15"/>
        <v>0.12</v>
      </c>
      <c r="AF165" s="5">
        <v>46025.0</v>
      </c>
      <c r="AG165" s="1">
        <f t="shared" si="16"/>
        <v>1.3</v>
      </c>
      <c r="AH165" s="2" t="s">
        <v>900</v>
      </c>
      <c r="AI165" s="1">
        <f t="shared" si="17"/>
        <v>-4.48</v>
      </c>
      <c r="AJ165" s="2" t="s">
        <v>822</v>
      </c>
      <c r="AK165" s="1">
        <f t="shared" si="18"/>
        <v>3.34</v>
      </c>
      <c r="AL165" s="2" t="s">
        <v>793</v>
      </c>
      <c r="AM165" s="1">
        <f t="shared" si="19"/>
        <v>4.44</v>
      </c>
      <c r="AN165" s="1">
        <v>6.0</v>
      </c>
    </row>
    <row r="166">
      <c r="A166" s="1" t="s">
        <v>901</v>
      </c>
      <c r="B166" s="1" t="s">
        <v>33</v>
      </c>
      <c r="C166" s="2" t="s">
        <v>902</v>
      </c>
      <c r="D166" s="1">
        <f t="shared" si="1"/>
        <v>21.89</v>
      </c>
      <c r="E166" s="2" t="s">
        <v>275</v>
      </c>
      <c r="F166" s="1">
        <f t="shared" si="2"/>
        <v>0.62</v>
      </c>
      <c r="G166" s="1" t="str">
        <f t="shared" si="3"/>
        <v>Medium</v>
      </c>
      <c r="I166" s="1" t="str">
        <f t="shared" si="4"/>
        <v/>
      </c>
      <c r="J166" s="2" t="s">
        <v>88</v>
      </c>
      <c r="K166" s="1">
        <f t="shared" si="5"/>
        <v>0.52</v>
      </c>
      <c r="L166" s="2" t="s">
        <v>93</v>
      </c>
      <c r="M166" s="1">
        <f t="shared" si="6"/>
        <v>0.09</v>
      </c>
      <c r="N166" s="2" t="s">
        <v>49</v>
      </c>
      <c r="O166" s="1">
        <f t="shared" si="7"/>
        <v>0.04</v>
      </c>
      <c r="P166" s="2" t="s">
        <v>236</v>
      </c>
      <c r="Q166" s="1">
        <f t="shared" si="8"/>
        <v>0.81</v>
      </c>
      <c r="R166" s="2" t="s">
        <v>80</v>
      </c>
      <c r="S166" s="1">
        <f t="shared" si="9"/>
        <v>0.01</v>
      </c>
      <c r="T166" s="2" t="s">
        <v>528</v>
      </c>
      <c r="U166" s="1">
        <f t="shared" si="10"/>
        <v>1.51</v>
      </c>
      <c r="V166" s="2" t="s">
        <v>283</v>
      </c>
      <c r="W166" s="1">
        <f t="shared" si="11"/>
        <v>0.41</v>
      </c>
      <c r="X166" s="2" t="s">
        <v>114</v>
      </c>
      <c r="Y166" s="1">
        <f t="shared" si="12"/>
        <v>0.1</v>
      </c>
      <c r="Z166" s="2" t="s">
        <v>49</v>
      </c>
      <c r="AA166" s="1">
        <f t="shared" si="13"/>
        <v>0.04</v>
      </c>
      <c r="AB166" s="2">
        <v>0.0</v>
      </c>
      <c r="AC166" s="1">
        <f t="shared" si="14"/>
        <v>0</v>
      </c>
      <c r="AD166" s="2" t="s">
        <v>181</v>
      </c>
      <c r="AE166" s="1">
        <f t="shared" si="15"/>
        <v>0.05</v>
      </c>
      <c r="AF166" s="2" t="s">
        <v>77</v>
      </c>
      <c r="AG166" s="1">
        <f t="shared" si="16"/>
        <v>0.6</v>
      </c>
      <c r="AH166" s="2" t="s">
        <v>903</v>
      </c>
      <c r="AI166" s="1">
        <f t="shared" si="17"/>
        <v>-0.91</v>
      </c>
      <c r="AJ166" s="2" t="s">
        <v>64</v>
      </c>
      <c r="AK166" s="1">
        <f t="shared" si="18"/>
        <v>0.87</v>
      </c>
      <c r="AL166" s="5">
        <v>46058.0</v>
      </c>
      <c r="AM166" s="1">
        <f t="shared" si="19"/>
        <v>2.5</v>
      </c>
      <c r="AN166" s="1">
        <v>5.0</v>
      </c>
    </row>
    <row r="167">
      <c r="A167" s="1" t="s">
        <v>904</v>
      </c>
      <c r="B167" s="1" t="s">
        <v>33</v>
      </c>
      <c r="C167" s="6">
        <v>46235.0</v>
      </c>
      <c r="D167" s="1">
        <f t="shared" si="1"/>
        <v>8.01</v>
      </c>
      <c r="E167" s="2" t="s">
        <v>275</v>
      </c>
      <c r="F167" s="1">
        <f t="shared" si="2"/>
        <v>0.62</v>
      </c>
      <c r="G167" s="1" t="str">
        <f t="shared" si="3"/>
        <v>Medium</v>
      </c>
      <c r="H167" s="2" t="s">
        <v>905</v>
      </c>
      <c r="I167" s="1">
        <f t="shared" si="4"/>
        <v>836.17</v>
      </c>
      <c r="J167" s="2" t="s">
        <v>36</v>
      </c>
      <c r="K167" s="1">
        <f t="shared" si="5"/>
        <v>0.46</v>
      </c>
      <c r="L167" s="2" t="s">
        <v>154</v>
      </c>
      <c r="M167" s="1">
        <f t="shared" si="6"/>
        <v>0.14</v>
      </c>
      <c r="N167" s="2" t="s">
        <v>114</v>
      </c>
      <c r="O167" s="1">
        <f t="shared" si="7"/>
        <v>0.1</v>
      </c>
      <c r="P167" s="2" t="s">
        <v>240</v>
      </c>
      <c r="Q167" s="1">
        <f t="shared" si="8"/>
        <v>0.13</v>
      </c>
      <c r="R167" s="2">
        <v>0.0</v>
      </c>
      <c r="S167" s="1">
        <f t="shared" si="9"/>
        <v>0</v>
      </c>
      <c r="T167" s="2" t="s">
        <v>215</v>
      </c>
      <c r="U167" s="1">
        <f t="shared" si="10"/>
        <v>0.91</v>
      </c>
      <c r="V167" s="2" t="s">
        <v>67</v>
      </c>
      <c r="W167" s="1">
        <f t="shared" si="11"/>
        <v>0.29</v>
      </c>
      <c r="X167" s="2" t="s">
        <v>154</v>
      </c>
      <c r="Y167" s="1">
        <f t="shared" si="12"/>
        <v>0.14</v>
      </c>
      <c r="Z167" s="2" t="s">
        <v>80</v>
      </c>
      <c r="AA167" s="1">
        <f t="shared" si="13"/>
        <v>0.01</v>
      </c>
      <c r="AB167" s="2" t="s">
        <v>80</v>
      </c>
      <c r="AC167" s="1">
        <f t="shared" si="14"/>
        <v>0.01</v>
      </c>
      <c r="AD167" s="2" t="s">
        <v>41</v>
      </c>
      <c r="AE167" s="1">
        <f t="shared" si="15"/>
        <v>0.08</v>
      </c>
      <c r="AF167" s="2" t="s">
        <v>465</v>
      </c>
      <c r="AG167" s="1">
        <f t="shared" si="16"/>
        <v>0.53</v>
      </c>
      <c r="AH167" s="2" t="s">
        <v>732</v>
      </c>
      <c r="AI167" s="1">
        <f t="shared" si="17"/>
        <v>-0.38</v>
      </c>
      <c r="AJ167" s="2" t="s">
        <v>88</v>
      </c>
      <c r="AK167" s="1">
        <f t="shared" si="18"/>
        <v>0.52</v>
      </c>
      <c r="AL167" s="2" t="s">
        <v>218</v>
      </c>
      <c r="AM167" s="1">
        <f t="shared" si="19"/>
        <v>1.71</v>
      </c>
      <c r="AN167" s="1">
        <v>5.0</v>
      </c>
    </row>
    <row r="168">
      <c r="A168" s="1" t="s">
        <v>906</v>
      </c>
      <c r="B168" s="1" t="s">
        <v>73</v>
      </c>
      <c r="C168" s="2" t="s">
        <v>907</v>
      </c>
      <c r="D168" s="1">
        <f t="shared" si="1"/>
        <v>47.78</v>
      </c>
      <c r="E168" s="2" t="s">
        <v>233</v>
      </c>
      <c r="F168" s="1">
        <f t="shared" si="2"/>
        <v>0.51</v>
      </c>
      <c r="G168" s="1" t="str">
        <f t="shared" si="3"/>
        <v>Low</v>
      </c>
      <c r="H168" s="2" t="s">
        <v>908</v>
      </c>
      <c r="I168" s="1">
        <f t="shared" si="4"/>
        <v>765.33</v>
      </c>
      <c r="J168" s="2" t="s">
        <v>132</v>
      </c>
      <c r="K168" s="1">
        <f t="shared" si="5"/>
        <v>0.44</v>
      </c>
      <c r="L168" s="2" t="s">
        <v>130</v>
      </c>
      <c r="M168" s="1">
        <f t="shared" si="6"/>
        <v>0.34</v>
      </c>
      <c r="N168" s="2" t="s">
        <v>365</v>
      </c>
      <c r="O168" s="1">
        <f t="shared" si="7"/>
        <v>0.23</v>
      </c>
      <c r="P168" s="2" t="s">
        <v>79</v>
      </c>
      <c r="Q168" s="1">
        <f t="shared" si="8"/>
        <v>0.17</v>
      </c>
      <c r="R168" s="2" t="s">
        <v>93</v>
      </c>
      <c r="S168" s="1">
        <f t="shared" si="9"/>
        <v>0.09</v>
      </c>
      <c r="T168" s="2" t="s">
        <v>187</v>
      </c>
      <c r="U168" s="1">
        <f t="shared" si="10"/>
        <v>1.32</v>
      </c>
      <c r="V168" s="2" t="s">
        <v>36</v>
      </c>
      <c r="W168" s="1">
        <f t="shared" si="11"/>
        <v>0.46</v>
      </c>
      <c r="X168" s="2" t="s">
        <v>130</v>
      </c>
      <c r="Y168" s="1">
        <f t="shared" si="12"/>
        <v>0.34</v>
      </c>
      <c r="Z168" s="2" t="s">
        <v>79</v>
      </c>
      <c r="AA168" s="1">
        <f t="shared" si="13"/>
        <v>0.17</v>
      </c>
      <c r="AB168" s="2" t="s">
        <v>69</v>
      </c>
      <c r="AC168" s="1">
        <f t="shared" si="14"/>
        <v>0.06</v>
      </c>
      <c r="AD168" s="2" t="s">
        <v>69</v>
      </c>
      <c r="AE168" s="1">
        <f t="shared" si="15"/>
        <v>0.06</v>
      </c>
      <c r="AF168" s="6">
        <v>46030.0</v>
      </c>
      <c r="AG168" s="1">
        <f t="shared" si="16"/>
        <v>1.08</v>
      </c>
      <c r="AH168" s="2" t="s">
        <v>909</v>
      </c>
      <c r="AI168" s="1">
        <f t="shared" si="17"/>
        <v>-0.24</v>
      </c>
      <c r="AJ168" s="2" t="s">
        <v>376</v>
      </c>
      <c r="AK168" s="1">
        <f t="shared" si="18"/>
        <v>0.76</v>
      </c>
      <c r="AL168" s="5">
        <v>46045.0</v>
      </c>
      <c r="AM168" s="1">
        <f t="shared" si="19"/>
        <v>1.23</v>
      </c>
      <c r="AN168" s="1">
        <v>6.0</v>
      </c>
    </row>
    <row r="169">
      <c r="A169" s="1" t="s">
        <v>910</v>
      </c>
      <c r="B169" s="1" t="s">
        <v>134</v>
      </c>
      <c r="C169" s="2" t="s">
        <v>911</v>
      </c>
      <c r="D169" s="1">
        <f t="shared" si="1"/>
        <v>66.78</v>
      </c>
      <c r="E169" s="2" t="s">
        <v>186</v>
      </c>
      <c r="F169" s="1">
        <f t="shared" si="2"/>
        <v>0.72</v>
      </c>
      <c r="G169" s="1" t="str">
        <f t="shared" si="3"/>
        <v>High</v>
      </c>
      <c r="H169" s="2" t="s">
        <v>912</v>
      </c>
      <c r="I169" s="1">
        <f t="shared" si="4"/>
        <v>5479.29</v>
      </c>
      <c r="J169" s="2" t="s">
        <v>254</v>
      </c>
      <c r="K169" s="1">
        <f t="shared" si="5"/>
        <v>0.67</v>
      </c>
      <c r="L169" s="2" t="s">
        <v>48</v>
      </c>
      <c r="M169" s="1">
        <f t="shared" si="6"/>
        <v>0.02</v>
      </c>
      <c r="N169" s="2" t="s">
        <v>45</v>
      </c>
      <c r="O169" s="1">
        <f t="shared" si="7"/>
        <v>0.24</v>
      </c>
      <c r="P169" s="2" t="s">
        <v>670</v>
      </c>
      <c r="Q169" s="1">
        <f t="shared" si="8"/>
        <v>1.54</v>
      </c>
      <c r="R169" s="2" t="s">
        <v>240</v>
      </c>
      <c r="S169" s="1">
        <f t="shared" si="9"/>
        <v>0.13</v>
      </c>
      <c r="T169" s="2" t="s">
        <v>584</v>
      </c>
      <c r="U169" s="1">
        <f t="shared" si="10"/>
        <v>2.66</v>
      </c>
      <c r="V169" s="2" t="s">
        <v>394</v>
      </c>
      <c r="W169" s="1">
        <f t="shared" si="11"/>
        <v>0.77</v>
      </c>
      <c r="X169" s="2" t="s">
        <v>80</v>
      </c>
      <c r="Y169" s="1">
        <f t="shared" si="12"/>
        <v>0.01</v>
      </c>
      <c r="Z169" s="2" t="s">
        <v>40</v>
      </c>
      <c r="AA169" s="1">
        <f t="shared" si="13"/>
        <v>0.2</v>
      </c>
      <c r="AB169" s="2" t="s">
        <v>178</v>
      </c>
      <c r="AC169" s="1">
        <f t="shared" si="14"/>
        <v>0.19</v>
      </c>
      <c r="AD169" s="2" t="s">
        <v>68</v>
      </c>
      <c r="AE169" s="1">
        <f t="shared" si="15"/>
        <v>0.07</v>
      </c>
      <c r="AF169" s="5">
        <v>46046.0</v>
      </c>
      <c r="AG169" s="1">
        <f t="shared" si="16"/>
        <v>1.24</v>
      </c>
      <c r="AH169" s="2" t="s">
        <v>414</v>
      </c>
      <c r="AI169" s="1">
        <f t="shared" si="17"/>
        <v>-1.42</v>
      </c>
      <c r="AJ169" s="2" t="s">
        <v>670</v>
      </c>
      <c r="AK169" s="1">
        <f t="shared" si="18"/>
        <v>1.54</v>
      </c>
      <c r="AL169" s="5">
        <v>46067.0</v>
      </c>
      <c r="AM169" s="1">
        <f t="shared" si="19"/>
        <v>2.14</v>
      </c>
      <c r="AN169" s="1">
        <v>6.0</v>
      </c>
    </row>
    <row r="170">
      <c r="A170" s="1" t="s">
        <v>913</v>
      </c>
      <c r="B170" s="1" t="s">
        <v>134</v>
      </c>
      <c r="C170" s="5">
        <v>46033.0</v>
      </c>
      <c r="D170" s="1">
        <f t="shared" si="1"/>
        <v>1.11</v>
      </c>
      <c r="E170" s="2" t="s">
        <v>77</v>
      </c>
      <c r="F170" s="1">
        <f t="shared" si="2"/>
        <v>0.6</v>
      </c>
      <c r="G170" s="1" t="str">
        <f t="shared" si="3"/>
        <v>Medium</v>
      </c>
      <c r="H170" s="2" t="s">
        <v>914</v>
      </c>
      <c r="I170" s="1">
        <f t="shared" si="4"/>
        <v>5167.86</v>
      </c>
      <c r="J170" s="2" t="s">
        <v>63</v>
      </c>
      <c r="K170" s="1">
        <f t="shared" si="5"/>
        <v>0.25</v>
      </c>
      <c r="L170" s="2" t="s">
        <v>68</v>
      </c>
      <c r="M170" s="1">
        <f t="shared" si="6"/>
        <v>0.07</v>
      </c>
      <c r="N170" s="2" t="s">
        <v>49</v>
      </c>
      <c r="O170" s="1">
        <f t="shared" si="7"/>
        <v>0.04</v>
      </c>
      <c r="P170" s="2" t="s">
        <v>69</v>
      </c>
      <c r="Q170" s="1">
        <f t="shared" si="8"/>
        <v>0.06</v>
      </c>
      <c r="R170" s="2" t="s">
        <v>48</v>
      </c>
      <c r="S170" s="1">
        <f t="shared" si="9"/>
        <v>0.02</v>
      </c>
      <c r="T170" s="2" t="s">
        <v>224</v>
      </c>
      <c r="U170" s="1">
        <f t="shared" si="10"/>
        <v>0.48</v>
      </c>
      <c r="V170" s="2" t="s">
        <v>66</v>
      </c>
      <c r="W170" s="1">
        <f t="shared" si="11"/>
        <v>0.21</v>
      </c>
      <c r="X170" s="2" t="s">
        <v>69</v>
      </c>
      <c r="Y170" s="1">
        <f t="shared" si="12"/>
        <v>0.06</v>
      </c>
      <c r="Z170" s="2" t="s">
        <v>88</v>
      </c>
      <c r="AA170" s="1">
        <f t="shared" si="13"/>
        <v>0.52</v>
      </c>
      <c r="AB170" s="2" t="s">
        <v>107</v>
      </c>
      <c r="AC170" s="1">
        <f t="shared" si="14"/>
        <v>0.94</v>
      </c>
      <c r="AD170" s="2" t="s">
        <v>49</v>
      </c>
      <c r="AE170" s="1">
        <f t="shared" si="15"/>
        <v>0.04</v>
      </c>
      <c r="AF170" s="2" t="s">
        <v>387</v>
      </c>
      <c r="AG170" s="1">
        <f t="shared" si="16"/>
        <v>1.78</v>
      </c>
      <c r="AH170" s="5">
        <v>46025.0</v>
      </c>
      <c r="AI170" s="1">
        <f t="shared" si="17"/>
        <v>1.3</v>
      </c>
      <c r="AJ170" s="2" t="s">
        <v>203</v>
      </c>
      <c r="AK170" s="1">
        <f t="shared" si="18"/>
        <v>0.28</v>
      </c>
      <c r="AL170" s="2" t="s">
        <v>81</v>
      </c>
      <c r="AM170" s="1">
        <f t="shared" si="19"/>
        <v>0.27</v>
      </c>
      <c r="AN170" s="1" t="s">
        <v>124</v>
      </c>
    </row>
    <row r="171">
      <c r="A171" s="1" t="s">
        <v>915</v>
      </c>
      <c r="B171" s="1" t="s">
        <v>73</v>
      </c>
      <c r="C171" s="2" t="s">
        <v>916</v>
      </c>
      <c r="D171" s="1">
        <f t="shared" si="1"/>
        <v>6.64</v>
      </c>
      <c r="E171" s="2" t="s">
        <v>300</v>
      </c>
      <c r="F171" s="1">
        <f t="shared" si="2"/>
        <v>0.47</v>
      </c>
      <c r="G171" s="1" t="str">
        <f t="shared" si="3"/>
        <v>Low</v>
      </c>
      <c r="H171" s="2" t="s">
        <v>917</v>
      </c>
      <c r="I171" s="1">
        <f t="shared" si="4"/>
        <v>580.86</v>
      </c>
      <c r="J171" s="2" t="s">
        <v>130</v>
      </c>
      <c r="K171" s="1">
        <f t="shared" si="5"/>
        <v>0.34</v>
      </c>
      <c r="L171" s="2" t="s">
        <v>114</v>
      </c>
      <c r="M171" s="1">
        <f t="shared" si="6"/>
        <v>0.1</v>
      </c>
      <c r="N171" s="2" t="s">
        <v>81</v>
      </c>
      <c r="O171" s="1">
        <f t="shared" si="7"/>
        <v>0.27</v>
      </c>
      <c r="P171" s="2" t="s">
        <v>285</v>
      </c>
      <c r="Q171" s="1">
        <f t="shared" si="8"/>
        <v>0.31</v>
      </c>
      <c r="R171" s="2" t="s">
        <v>41</v>
      </c>
      <c r="S171" s="1">
        <f t="shared" si="9"/>
        <v>0.08</v>
      </c>
      <c r="T171" s="5">
        <v>46035.0</v>
      </c>
      <c r="U171" s="1">
        <f t="shared" si="10"/>
        <v>1.13</v>
      </c>
      <c r="V171" s="2" t="s">
        <v>130</v>
      </c>
      <c r="W171" s="1">
        <f t="shared" si="11"/>
        <v>0.34</v>
      </c>
      <c r="X171" s="2" t="s">
        <v>92</v>
      </c>
      <c r="Y171" s="1">
        <f t="shared" si="12"/>
        <v>0.12</v>
      </c>
      <c r="Z171" s="2" t="s">
        <v>82</v>
      </c>
      <c r="AA171" s="1">
        <f t="shared" si="13"/>
        <v>0.03</v>
      </c>
      <c r="AB171" s="2" t="s">
        <v>48</v>
      </c>
      <c r="AC171" s="1">
        <f t="shared" si="14"/>
        <v>0.02</v>
      </c>
      <c r="AD171" s="2" t="s">
        <v>48</v>
      </c>
      <c r="AE171" s="1">
        <f t="shared" si="15"/>
        <v>0.02</v>
      </c>
      <c r="AF171" s="2" t="s">
        <v>465</v>
      </c>
      <c r="AG171" s="1">
        <f t="shared" si="16"/>
        <v>0.53</v>
      </c>
      <c r="AH171" s="2" t="s">
        <v>918</v>
      </c>
      <c r="AI171" s="1">
        <f t="shared" si="17"/>
        <v>-0.6</v>
      </c>
      <c r="AJ171" s="2" t="s">
        <v>250</v>
      </c>
      <c r="AK171" s="1">
        <f t="shared" si="18"/>
        <v>0.65</v>
      </c>
      <c r="AL171" s="5">
        <v>46066.0</v>
      </c>
      <c r="AM171" s="1">
        <f t="shared" si="19"/>
        <v>2.13</v>
      </c>
      <c r="AN171" s="1">
        <v>6.0</v>
      </c>
    </row>
    <row r="172">
      <c r="A172" s="1" t="s">
        <v>919</v>
      </c>
      <c r="B172" s="1" t="s">
        <v>134</v>
      </c>
      <c r="C172" s="2" t="s">
        <v>114</v>
      </c>
      <c r="D172" s="1">
        <f t="shared" si="1"/>
        <v>0.1</v>
      </c>
      <c r="E172" s="2" t="s">
        <v>186</v>
      </c>
      <c r="F172" s="1">
        <f t="shared" si="2"/>
        <v>0.72</v>
      </c>
      <c r="G172" s="1" t="str">
        <f t="shared" si="3"/>
        <v>High</v>
      </c>
      <c r="H172" s="2" t="s">
        <v>920</v>
      </c>
      <c r="I172" s="1">
        <f t="shared" si="4"/>
        <v>4330.9</v>
      </c>
      <c r="J172" s="5">
        <v>46041.0</v>
      </c>
      <c r="K172" s="1">
        <f t="shared" si="5"/>
        <v>1.19</v>
      </c>
      <c r="L172" s="2" t="s">
        <v>310</v>
      </c>
      <c r="M172" s="1">
        <f t="shared" si="6"/>
        <v>0.32</v>
      </c>
      <c r="N172" s="2" t="s">
        <v>154</v>
      </c>
      <c r="O172" s="1">
        <f t="shared" si="7"/>
        <v>0.14</v>
      </c>
      <c r="P172" s="2" t="s">
        <v>159</v>
      </c>
      <c r="Q172" s="1">
        <f t="shared" si="8"/>
        <v>0.88</v>
      </c>
      <c r="R172" s="2" t="s">
        <v>42</v>
      </c>
      <c r="S172" s="1">
        <f t="shared" si="9"/>
        <v>0.18</v>
      </c>
      <c r="T172" s="5">
        <v>46060.0</v>
      </c>
      <c r="U172" s="1">
        <f t="shared" si="10"/>
        <v>2.7</v>
      </c>
      <c r="V172" s="2" t="s">
        <v>111</v>
      </c>
      <c r="W172" s="1">
        <f t="shared" si="11"/>
        <v>0.83</v>
      </c>
      <c r="X172" s="2" t="s">
        <v>48</v>
      </c>
      <c r="Y172" s="1">
        <f t="shared" si="12"/>
        <v>0.02</v>
      </c>
      <c r="Z172" s="2" t="s">
        <v>149</v>
      </c>
      <c r="AA172" s="1">
        <f t="shared" si="13"/>
        <v>0.11</v>
      </c>
      <c r="AB172" s="2" t="s">
        <v>88</v>
      </c>
      <c r="AC172" s="1">
        <f t="shared" si="14"/>
        <v>0.52</v>
      </c>
      <c r="AD172" s="2">
        <v>0.0</v>
      </c>
      <c r="AE172" s="1">
        <f t="shared" si="15"/>
        <v>0</v>
      </c>
      <c r="AF172" s="2" t="s">
        <v>921</v>
      </c>
      <c r="AG172" s="1">
        <f t="shared" si="16"/>
        <v>1.48</v>
      </c>
      <c r="AH172" s="2" t="s">
        <v>922</v>
      </c>
      <c r="AI172" s="1">
        <f t="shared" si="17"/>
        <v>-1.22</v>
      </c>
      <c r="AJ172" s="2" t="s">
        <v>752</v>
      </c>
      <c r="AK172" s="1">
        <f t="shared" si="18"/>
        <v>1.56</v>
      </c>
      <c r="AL172" s="2" t="s">
        <v>122</v>
      </c>
      <c r="AM172" s="1">
        <f t="shared" si="19"/>
        <v>1.82</v>
      </c>
      <c r="AN172" s="1" t="s">
        <v>124</v>
      </c>
    </row>
    <row r="173">
      <c r="A173" s="1" t="s">
        <v>923</v>
      </c>
      <c r="B173" s="1" t="s">
        <v>103</v>
      </c>
      <c r="C173" s="2" t="s">
        <v>546</v>
      </c>
      <c r="D173" s="1">
        <f t="shared" si="1"/>
        <v>1.34</v>
      </c>
      <c r="E173" s="2" t="s">
        <v>394</v>
      </c>
      <c r="F173" s="1">
        <f t="shared" si="2"/>
        <v>0.77</v>
      </c>
      <c r="G173" s="1" t="str">
        <f t="shared" si="3"/>
        <v>High</v>
      </c>
      <c r="H173" s="2" t="s">
        <v>924</v>
      </c>
      <c r="I173" s="1">
        <f t="shared" si="4"/>
        <v>18310.8</v>
      </c>
      <c r="J173" s="2" t="s">
        <v>36</v>
      </c>
      <c r="K173" s="1">
        <f t="shared" si="5"/>
        <v>0.46</v>
      </c>
      <c r="L173" s="2" t="s">
        <v>178</v>
      </c>
      <c r="M173" s="1">
        <f t="shared" si="6"/>
        <v>0.19</v>
      </c>
      <c r="N173" s="2" t="s">
        <v>81</v>
      </c>
      <c r="O173" s="1">
        <f t="shared" si="7"/>
        <v>0.27</v>
      </c>
      <c r="P173" s="2" t="s">
        <v>616</v>
      </c>
      <c r="Q173" s="1">
        <f t="shared" si="8"/>
        <v>6.89</v>
      </c>
      <c r="R173" s="2" t="s">
        <v>149</v>
      </c>
      <c r="S173" s="1">
        <f t="shared" si="9"/>
        <v>0.11</v>
      </c>
      <c r="T173" s="2" t="s">
        <v>826</v>
      </c>
      <c r="U173" s="1">
        <f t="shared" si="10"/>
        <v>7.92</v>
      </c>
      <c r="V173" s="2" t="s">
        <v>49</v>
      </c>
      <c r="W173" s="1">
        <f t="shared" si="11"/>
        <v>0.04</v>
      </c>
      <c r="X173" s="2" t="s">
        <v>80</v>
      </c>
      <c r="Y173" s="1">
        <f t="shared" si="12"/>
        <v>0.01</v>
      </c>
      <c r="Z173" s="2" t="s">
        <v>91</v>
      </c>
      <c r="AA173" s="1">
        <f t="shared" si="13"/>
        <v>0.15</v>
      </c>
      <c r="AB173" s="2" t="s">
        <v>379</v>
      </c>
      <c r="AC173" s="1">
        <f t="shared" si="14"/>
        <v>1.37</v>
      </c>
      <c r="AD173" s="2">
        <v>0.0</v>
      </c>
      <c r="AE173" s="1">
        <f t="shared" si="15"/>
        <v>0</v>
      </c>
      <c r="AF173" s="2" t="s">
        <v>752</v>
      </c>
      <c r="AG173" s="1">
        <f t="shared" si="16"/>
        <v>1.56</v>
      </c>
      <c r="AH173" s="2" t="s">
        <v>925</v>
      </c>
      <c r="AI173" s="1">
        <f t="shared" si="17"/>
        <v>-6.36</v>
      </c>
      <c r="AJ173" s="2" t="s">
        <v>926</v>
      </c>
      <c r="AK173" s="1">
        <f t="shared" si="18"/>
        <v>4.57</v>
      </c>
      <c r="AL173" s="6">
        <v>46149.0</v>
      </c>
      <c r="AM173" s="1">
        <f t="shared" si="19"/>
        <v>5.07</v>
      </c>
      <c r="AN173" s="1" t="s">
        <v>124</v>
      </c>
    </row>
    <row r="174">
      <c r="A174" s="1" t="s">
        <v>927</v>
      </c>
      <c r="B174" s="1" t="s">
        <v>73</v>
      </c>
      <c r="C174" s="2" t="s">
        <v>928</v>
      </c>
      <c r="D174" s="1">
        <f t="shared" si="1"/>
        <v>10.88</v>
      </c>
      <c r="E174" s="2" t="s">
        <v>186</v>
      </c>
      <c r="F174" s="1">
        <f t="shared" si="2"/>
        <v>0.72</v>
      </c>
      <c r="G174" s="1" t="str">
        <f t="shared" si="3"/>
        <v>High</v>
      </c>
      <c r="H174" s="2" t="s">
        <v>929</v>
      </c>
      <c r="I174" s="1">
        <f t="shared" si="4"/>
        <v>4305.07</v>
      </c>
      <c r="J174" s="2" t="s">
        <v>376</v>
      </c>
      <c r="K174" s="1">
        <f t="shared" si="5"/>
        <v>0.76</v>
      </c>
      <c r="L174" s="2" t="s">
        <v>93</v>
      </c>
      <c r="M174" s="1">
        <f t="shared" si="6"/>
        <v>0.09</v>
      </c>
      <c r="N174" s="2" t="s">
        <v>203</v>
      </c>
      <c r="O174" s="1">
        <f t="shared" si="7"/>
        <v>0.28</v>
      </c>
      <c r="P174" s="5">
        <v>46033.0</v>
      </c>
      <c r="Q174" s="1">
        <f t="shared" si="8"/>
        <v>1.11</v>
      </c>
      <c r="R174" s="2" t="s">
        <v>69</v>
      </c>
      <c r="S174" s="1">
        <f t="shared" si="9"/>
        <v>0.06</v>
      </c>
      <c r="T174" s="2" t="s">
        <v>290</v>
      </c>
      <c r="U174" s="1">
        <f t="shared" si="10"/>
        <v>2.34</v>
      </c>
      <c r="V174" s="2" t="s">
        <v>465</v>
      </c>
      <c r="W174" s="1">
        <f t="shared" si="11"/>
        <v>0.53</v>
      </c>
      <c r="X174" s="2" t="s">
        <v>41</v>
      </c>
      <c r="Y174" s="1">
        <f t="shared" si="12"/>
        <v>0.08</v>
      </c>
      <c r="Z174" s="2" t="s">
        <v>181</v>
      </c>
      <c r="AA174" s="1">
        <f t="shared" si="13"/>
        <v>0.05</v>
      </c>
      <c r="AB174" s="2" t="s">
        <v>45</v>
      </c>
      <c r="AC174" s="1">
        <f t="shared" si="14"/>
        <v>0.24</v>
      </c>
      <c r="AD174" s="2" t="s">
        <v>49</v>
      </c>
      <c r="AE174" s="1">
        <f t="shared" si="15"/>
        <v>0.04</v>
      </c>
      <c r="AF174" s="2" t="s">
        <v>94</v>
      </c>
      <c r="AG174" s="1">
        <f t="shared" si="16"/>
        <v>0.93</v>
      </c>
      <c r="AH174" s="2" t="s">
        <v>930</v>
      </c>
      <c r="AI174" s="1">
        <f t="shared" si="17"/>
        <v>-1.4</v>
      </c>
      <c r="AJ174" s="2" t="s">
        <v>475</v>
      </c>
      <c r="AK174" s="1">
        <f t="shared" si="18"/>
        <v>1.35</v>
      </c>
      <c r="AL174" s="2" t="s">
        <v>778</v>
      </c>
      <c r="AM174" s="1">
        <f t="shared" si="19"/>
        <v>2.51</v>
      </c>
      <c r="AN174" s="1">
        <v>5.0</v>
      </c>
    </row>
    <row r="175">
      <c r="A175" s="1" t="s">
        <v>931</v>
      </c>
      <c r="B175" s="1" t="s">
        <v>33</v>
      </c>
      <c r="C175" s="2">
        <v>74.0</v>
      </c>
      <c r="D175" s="1">
        <f t="shared" si="1"/>
        <v>74</v>
      </c>
      <c r="E175" s="2" t="s">
        <v>376</v>
      </c>
      <c r="F175" s="1">
        <f t="shared" si="2"/>
        <v>0.76</v>
      </c>
      <c r="G175" s="1" t="str">
        <f t="shared" si="3"/>
        <v>High</v>
      </c>
      <c r="H175" s="2" t="s">
        <v>932</v>
      </c>
      <c r="I175" s="1">
        <f t="shared" si="4"/>
        <v>10437.7</v>
      </c>
      <c r="J175" s="2" t="s">
        <v>64</v>
      </c>
      <c r="K175" s="1">
        <f t="shared" si="5"/>
        <v>0.87</v>
      </c>
      <c r="L175" s="2" t="s">
        <v>92</v>
      </c>
      <c r="M175" s="1">
        <f t="shared" si="6"/>
        <v>0.12</v>
      </c>
      <c r="N175" s="2" t="s">
        <v>130</v>
      </c>
      <c r="O175" s="1">
        <f t="shared" si="7"/>
        <v>0.34</v>
      </c>
      <c r="P175" s="2" t="s">
        <v>202</v>
      </c>
      <c r="Q175" s="1">
        <f t="shared" si="8"/>
        <v>1.92</v>
      </c>
      <c r="R175" s="2" t="s">
        <v>49</v>
      </c>
      <c r="S175" s="1">
        <f t="shared" si="9"/>
        <v>0.04</v>
      </c>
      <c r="T175" s="2" t="s">
        <v>242</v>
      </c>
      <c r="U175" s="1">
        <f t="shared" si="10"/>
        <v>3.33</v>
      </c>
      <c r="V175" s="2" t="s">
        <v>167</v>
      </c>
      <c r="W175" s="1">
        <f t="shared" si="11"/>
        <v>0.75</v>
      </c>
      <c r="X175" s="2" t="s">
        <v>93</v>
      </c>
      <c r="Y175" s="1">
        <f t="shared" si="12"/>
        <v>0.09</v>
      </c>
      <c r="Z175" s="2" t="s">
        <v>77</v>
      </c>
      <c r="AA175" s="1">
        <f t="shared" si="13"/>
        <v>0.6</v>
      </c>
      <c r="AB175" s="2" t="s">
        <v>49</v>
      </c>
      <c r="AC175" s="1">
        <f t="shared" si="14"/>
        <v>0.04</v>
      </c>
      <c r="AD175" s="2" t="s">
        <v>49</v>
      </c>
      <c r="AE175" s="1">
        <f t="shared" si="15"/>
        <v>0.04</v>
      </c>
      <c r="AF175" s="2" t="s">
        <v>217</v>
      </c>
      <c r="AG175" s="1">
        <f t="shared" si="16"/>
        <v>1.52</v>
      </c>
      <c r="AH175" s="2" t="s">
        <v>933</v>
      </c>
      <c r="AI175" s="1">
        <f t="shared" si="17"/>
        <v>-1.81</v>
      </c>
      <c r="AJ175" s="2" t="s">
        <v>202</v>
      </c>
      <c r="AK175" s="1">
        <f t="shared" si="18"/>
        <v>1.92</v>
      </c>
      <c r="AL175" s="5">
        <v>46072.0</v>
      </c>
      <c r="AM175" s="1">
        <f t="shared" si="19"/>
        <v>2.19</v>
      </c>
      <c r="AN175" s="1">
        <v>5.0</v>
      </c>
    </row>
    <row r="176">
      <c r="A176" s="1" t="s">
        <v>934</v>
      </c>
      <c r="B176" s="1" t="s">
        <v>33</v>
      </c>
      <c r="C176" s="5">
        <v>46159.0</v>
      </c>
      <c r="D176" s="1">
        <f t="shared" si="1"/>
        <v>5.17</v>
      </c>
      <c r="E176" s="2" t="s">
        <v>324</v>
      </c>
      <c r="F176" s="1">
        <f t="shared" si="2"/>
        <v>0.68</v>
      </c>
      <c r="G176" s="1" t="str">
        <f t="shared" si="3"/>
        <v>Medium</v>
      </c>
      <c r="H176" s="2" t="s">
        <v>935</v>
      </c>
      <c r="I176" s="1">
        <f t="shared" si="4"/>
        <v>5290.14</v>
      </c>
      <c r="J176" s="2" t="s">
        <v>59</v>
      </c>
      <c r="K176" s="1">
        <f t="shared" si="5"/>
        <v>0.73</v>
      </c>
      <c r="L176" s="2" t="s">
        <v>132</v>
      </c>
      <c r="M176" s="1">
        <f t="shared" si="6"/>
        <v>0.44</v>
      </c>
      <c r="N176" s="2" t="s">
        <v>41</v>
      </c>
      <c r="O176" s="1">
        <f t="shared" si="7"/>
        <v>0.08</v>
      </c>
      <c r="P176" s="5">
        <v>46125.0</v>
      </c>
      <c r="Q176" s="1">
        <f t="shared" si="8"/>
        <v>4.13</v>
      </c>
      <c r="R176" s="2" t="s">
        <v>80</v>
      </c>
      <c r="S176" s="1">
        <f t="shared" si="9"/>
        <v>0.01</v>
      </c>
      <c r="T176" s="2" t="s">
        <v>620</v>
      </c>
      <c r="U176" s="1">
        <f t="shared" si="10"/>
        <v>5.47</v>
      </c>
      <c r="V176" s="2" t="s">
        <v>77</v>
      </c>
      <c r="W176" s="1">
        <f t="shared" si="11"/>
        <v>0.6</v>
      </c>
      <c r="X176" s="2" t="s">
        <v>512</v>
      </c>
      <c r="Y176" s="1">
        <f t="shared" si="12"/>
        <v>1.96</v>
      </c>
      <c r="Z176" s="2" t="s">
        <v>48</v>
      </c>
      <c r="AA176" s="1">
        <f t="shared" si="13"/>
        <v>0.02</v>
      </c>
      <c r="AB176" s="2" t="s">
        <v>240</v>
      </c>
      <c r="AC176" s="1">
        <f t="shared" si="14"/>
        <v>0.13</v>
      </c>
      <c r="AD176" s="2" t="s">
        <v>93</v>
      </c>
      <c r="AE176" s="1">
        <f t="shared" si="15"/>
        <v>0.09</v>
      </c>
      <c r="AF176" s="2" t="s">
        <v>558</v>
      </c>
      <c r="AG176" s="1">
        <f t="shared" si="16"/>
        <v>2.79</v>
      </c>
      <c r="AH176" s="2" t="s">
        <v>936</v>
      </c>
      <c r="AI176" s="1">
        <f t="shared" si="17"/>
        <v>-2.68</v>
      </c>
      <c r="AJ176" s="5">
        <v>46097.0</v>
      </c>
      <c r="AK176" s="1">
        <f t="shared" si="18"/>
        <v>3.16</v>
      </c>
      <c r="AL176" s="2" t="s">
        <v>512</v>
      </c>
      <c r="AM176" s="1">
        <f t="shared" si="19"/>
        <v>1.96</v>
      </c>
      <c r="AN176" s="1">
        <v>6.0</v>
      </c>
    </row>
    <row r="177">
      <c r="A177" s="1" t="s">
        <v>937</v>
      </c>
      <c r="B177" s="1" t="s">
        <v>73</v>
      </c>
      <c r="C177" s="2" t="s">
        <v>938</v>
      </c>
      <c r="D177" s="1">
        <f t="shared" si="1"/>
        <v>36.35</v>
      </c>
      <c r="E177" s="2" t="s">
        <v>224</v>
      </c>
      <c r="F177" s="1">
        <f t="shared" si="2"/>
        <v>0.48</v>
      </c>
      <c r="G177" s="1" t="str">
        <f t="shared" si="3"/>
        <v>Low</v>
      </c>
      <c r="H177" s="2" t="s">
        <v>939</v>
      </c>
      <c r="I177" s="1">
        <f t="shared" si="4"/>
        <v>601.35</v>
      </c>
      <c r="J177" s="2" t="s">
        <v>130</v>
      </c>
      <c r="K177" s="1">
        <f t="shared" si="5"/>
        <v>0.34</v>
      </c>
      <c r="L177" s="2" t="s">
        <v>91</v>
      </c>
      <c r="M177" s="1">
        <f t="shared" si="6"/>
        <v>0.15</v>
      </c>
      <c r="N177" s="2" t="s">
        <v>100</v>
      </c>
      <c r="O177" s="1">
        <f t="shared" si="7"/>
        <v>0.54</v>
      </c>
      <c r="P177" s="2" t="s">
        <v>41</v>
      </c>
      <c r="Q177" s="1">
        <f t="shared" si="8"/>
        <v>0.08</v>
      </c>
      <c r="R177" s="2" t="s">
        <v>149</v>
      </c>
      <c r="S177" s="1">
        <f t="shared" si="9"/>
        <v>0.11</v>
      </c>
      <c r="T177" s="5">
        <v>46046.0</v>
      </c>
      <c r="U177" s="1">
        <f t="shared" si="10"/>
        <v>1.24</v>
      </c>
      <c r="V177" s="2" t="s">
        <v>293</v>
      </c>
      <c r="W177" s="1">
        <f t="shared" si="11"/>
        <v>0.35</v>
      </c>
      <c r="X177" s="2" t="s">
        <v>91</v>
      </c>
      <c r="Y177" s="1">
        <f t="shared" si="12"/>
        <v>0.15</v>
      </c>
      <c r="Z177" s="2" t="s">
        <v>80</v>
      </c>
      <c r="AA177" s="1">
        <f t="shared" si="13"/>
        <v>0.01</v>
      </c>
      <c r="AB177" s="2" t="s">
        <v>49</v>
      </c>
      <c r="AC177" s="1">
        <f t="shared" si="14"/>
        <v>0.04</v>
      </c>
      <c r="AD177" s="2" t="s">
        <v>49</v>
      </c>
      <c r="AE177" s="1">
        <f t="shared" si="15"/>
        <v>0.04</v>
      </c>
      <c r="AF177" s="2" t="s">
        <v>83</v>
      </c>
      <c r="AG177" s="1">
        <f t="shared" si="16"/>
        <v>0.59</v>
      </c>
      <c r="AH177" s="2" t="s">
        <v>940</v>
      </c>
      <c r="AI177" s="1">
        <f t="shared" si="17"/>
        <v>-0.66</v>
      </c>
      <c r="AJ177" s="2" t="s">
        <v>186</v>
      </c>
      <c r="AK177" s="1">
        <f t="shared" si="18"/>
        <v>0.72</v>
      </c>
      <c r="AL177" s="5">
        <v>46065.0</v>
      </c>
      <c r="AM177" s="1">
        <f t="shared" si="19"/>
        <v>2.12</v>
      </c>
      <c r="AN177" s="1">
        <v>6.0</v>
      </c>
    </row>
    <row r="178">
      <c r="A178" s="1" t="s">
        <v>941</v>
      </c>
      <c r="B178" s="1" t="s">
        <v>58</v>
      </c>
      <c r="C178" s="2" t="s">
        <v>942</v>
      </c>
      <c r="D178" s="1">
        <f t="shared" si="1"/>
        <v>45.53</v>
      </c>
      <c r="E178" s="2" t="s">
        <v>128</v>
      </c>
      <c r="F178" s="1">
        <f t="shared" si="2"/>
        <v>0.74</v>
      </c>
      <c r="G178" s="1" t="str">
        <f t="shared" si="3"/>
        <v>High</v>
      </c>
      <c r="H178" s="2" t="s">
        <v>943</v>
      </c>
      <c r="I178" s="1">
        <f t="shared" si="4"/>
        <v>3589.63</v>
      </c>
      <c r="J178" s="2" t="s">
        <v>275</v>
      </c>
      <c r="K178" s="1">
        <f t="shared" si="5"/>
        <v>0.62</v>
      </c>
      <c r="L178" s="2" t="s">
        <v>80</v>
      </c>
      <c r="M178" s="1">
        <f t="shared" si="6"/>
        <v>0.01</v>
      </c>
      <c r="N178" s="2" t="s">
        <v>78</v>
      </c>
      <c r="O178" s="1">
        <f t="shared" si="7"/>
        <v>0.16</v>
      </c>
      <c r="P178" s="2" t="s">
        <v>202</v>
      </c>
      <c r="Q178" s="1">
        <f t="shared" si="8"/>
        <v>1.92</v>
      </c>
      <c r="R178" s="2" t="s">
        <v>69</v>
      </c>
      <c r="S178" s="1">
        <f t="shared" si="9"/>
        <v>0.06</v>
      </c>
      <c r="T178" s="2" t="s">
        <v>380</v>
      </c>
      <c r="U178" s="1">
        <f t="shared" si="10"/>
        <v>2.84</v>
      </c>
      <c r="V178" s="5">
        <v>46027.0</v>
      </c>
      <c r="W178" s="1">
        <f t="shared" si="11"/>
        <v>1.5</v>
      </c>
      <c r="X178" s="2" t="s">
        <v>92</v>
      </c>
      <c r="Y178" s="1">
        <f t="shared" si="12"/>
        <v>0.12</v>
      </c>
      <c r="Z178" s="2" t="s">
        <v>248</v>
      </c>
      <c r="AA178" s="1">
        <f t="shared" si="13"/>
        <v>0.43</v>
      </c>
      <c r="AB178" s="2" t="s">
        <v>91</v>
      </c>
      <c r="AC178" s="1">
        <f t="shared" si="14"/>
        <v>0.15</v>
      </c>
      <c r="AD178" s="2" t="s">
        <v>68</v>
      </c>
      <c r="AE178" s="1">
        <f t="shared" si="15"/>
        <v>0.07</v>
      </c>
      <c r="AF178" s="5">
        <v>46080.0</v>
      </c>
      <c r="AG178" s="1">
        <f t="shared" si="16"/>
        <v>2.27</v>
      </c>
      <c r="AH178" s="2" t="s">
        <v>944</v>
      </c>
      <c r="AI178" s="1">
        <f t="shared" si="17"/>
        <v>-0.58</v>
      </c>
      <c r="AJ178" s="2" t="s">
        <v>383</v>
      </c>
      <c r="AK178" s="1">
        <f t="shared" si="18"/>
        <v>1.64</v>
      </c>
      <c r="AL178" s="5">
        <v>46047.0</v>
      </c>
      <c r="AM178" s="1">
        <f t="shared" si="19"/>
        <v>1.25</v>
      </c>
      <c r="AN178" s="1">
        <v>5.0</v>
      </c>
    </row>
    <row r="179">
      <c r="A179" s="1" t="s">
        <v>945</v>
      </c>
      <c r="B179" s="1" t="s">
        <v>143</v>
      </c>
      <c r="C179" s="2" t="s">
        <v>946</v>
      </c>
      <c r="D179" s="1">
        <f t="shared" si="1"/>
        <v>63.03</v>
      </c>
      <c r="E179" s="2" t="s">
        <v>438</v>
      </c>
      <c r="F179" s="1">
        <f t="shared" si="2"/>
        <v>0.9</v>
      </c>
      <c r="G179" s="1" t="str">
        <f t="shared" si="3"/>
        <v>Very High</v>
      </c>
      <c r="H179" s="2" t="s">
        <v>947</v>
      </c>
      <c r="I179" s="1">
        <f t="shared" si="4"/>
        <v>40980.5</v>
      </c>
      <c r="J179" s="2" t="s">
        <v>162</v>
      </c>
      <c r="K179" s="1">
        <f t="shared" si="5"/>
        <v>0.82</v>
      </c>
      <c r="L179" s="2" t="s">
        <v>203</v>
      </c>
      <c r="M179" s="1">
        <f t="shared" si="6"/>
        <v>0.28</v>
      </c>
      <c r="N179" s="2" t="s">
        <v>123</v>
      </c>
      <c r="O179" s="1">
        <f t="shared" si="7"/>
        <v>0.45</v>
      </c>
      <c r="P179" s="5">
        <v>46095.0</v>
      </c>
      <c r="Q179" s="1">
        <f t="shared" si="8"/>
        <v>3.14</v>
      </c>
      <c r="R179" s="2" t="s">
        <v>41</v>
      </c>
      <c r="S179" s="1">
        <f t="shared" si="9"/>
        <v>0.08</v>
      </c>
      <c r="T179" s="2" t="s">
        <v>823</v>
      </c>
      <c r="U179" s="1">
        <f t="shared" si="10"/>
        <v>4.94</v>
      </c>
      <c r="V179" s="2" t="s">
        <v>77</v>
      </c>
      <c r="W179" s="1">
        <f t="shared" si="11"/>
        <v>0.6</v>
      </c>
      <c r="X179" s="2" t="s">
        <v>92</v>
      </c>
      <c r="Y179" s="1">
        <f t="shared" si="12"/>
        <v>0.12</v>
      </c>
      <c r="Z179" s="2" t="s">
        <v>92</v>
      </c>
      <c r="AA179" s="1">
        <f t="shared" si="13"/>
        <v>0.12</v>
      </c>
      <c r="AB179" s="2" t="s">
        <v>38</v>
      </c>
      <c r="AC179" s="1">
        <f t="shared" si="14"/>
        <v>0.3</v>
      </c>
      <c r="AD179" s="2" t="s">
        <v>42</v>
      </c>
      <c r="AE179" s="1">
        <f t="shared" si="15"/>
        <v>0.18</v>
      </c>
      <c r="AF179" s="2" t="s">
        <v>187</v>
      </c>
      <c r="AG179" s="1">
        <f t="shared" si="16"/>
        <v>1.32</v>
      </c>
      <c r="AH179" s="2" t="s">
        <v>948</v>
      </c>
      <c r="AI179" s="1">
        <f t="shared" si="17"/>
        <v>-3.62</v>
      </c>
      <c r="AJ179" s="2" t="s">
        <v>825</v>
      </c>
      <c r="AK179" s="1">
        <f t="shared" si="18"/>
        <v>2.85</v>
      </c>
      <c r="AL179" s="2" t="s">
        <v>949</v>
      </c>
      <c r="AM179" s="1">
        <f t="shared" si="19"/>
        <v>3.76</v>
      </c>
      <c r="AN179" s="1">
        <v>6.0</v>
      </c>
    </row>
    <row r="180">
      <c r="A180" s="1" t="s">
        <v>950</v>
      </c>
      <c r="B180" s="1" t="s">
        <v>33</v>
      </c>
      <c r="C180" s="2" t="s">
        <v>951</v>
      </c>
      <c r="D180" s="1">
        <f t="shared" si="1"/>
        <v>9.206</v>
      </c>
      <c r="E180" s="2" t="s">
        <v>111</v>
      </c>
      <c r="F180" s="1">
        <f t="shared" si="2"/>
        <v>0.83</v>
      </c>
      <c r="G180" s="1" t="str">
        <f t="shared" si="3"/>
        <v>Very High</v>
      </c>
      <c r="H180" s="2" t="s">
        <v>952</v>
      </c>
      <c r="I180" s="1">
        <f t="shared" si="4"/>
        <v>40817.4</v>
      </c>
      <c r="J180" s="2" t="s">
        <v>213</v>
      </c>
      <c r="K180" s="1">
        <f t="shared" si="5"/>
        <v>0.8</v>
      </c>
      <c r="L180" s="2" t="s">
        <v>178</v>
      </c>
      <c r="M180" s="1">
        <f t="shared" si="6"/>
        <v>0.19</v>
      </c>
      <c r="N180" s="2" t="s">
        <v>199</v>
      </c>
      <c r="O180" s="1">
        <f t="shared" si="7"/>
        <v>0.38</v>
      </c>
      <c r="P180" s="2" t="s">
        <v>953</v>
      </c>
      <c r="Q180" s="1">
        <f t="shared" si="8"/>
        <v>6.37</v>
      </c>
      <c r="R180" s="2" t="s">
        <v>178</v>
      </c>
      <c r="S180" s="1">
        <f t="shared" si="9"/>
        <v>0.19</v>
      </c>
      <c r="T180" s="2" t="s">
        <v>954</v>
      </c>
      <c r="U180" s="1">
        <f t="shared" si="10"/>
        <v>7.93</v>
      </c>
      <c r="V180" s="2" t="s">
        <v>48</v>
      </c>
      <c r="W180" s="1">
        <f t="shared" si="11"/>
        <v>0.02</v>
      </c>
      <c r="X180" s="2">
        <v>0.0</v>
      </c>
      <c r="Y180" s="1">
        <f t="shared" si="12"/>
        <v>0</v>
      </c>
      <c r="Z180" s="2" t="s">
        <v>68</v>
      </c>
      <c r="AA180" s="1">
        <f t="shared" si="13"/>
        <v>0.07</v>
      </c>
      <c r="AB180" s="2" t="s">
        <v>300</v>
      </c>
      <c r="AC180" s="1">
        <f t="shared" si="14"/>
        <v>0.47</v>
      </c>
      <c r="AD180" s="2">
        <v>0.0</v>
      </c>
      <c r="AE180" s="1">
        <f t="shared" si="15"/>
        <v>0</v>
      </c>
      <c r="AF180" s="2" t="s">
        <v>157</v>
      </c>
      <c r="AG180" s="1">
        <f t="shared" si="16"/>
        <v>0.56</v>
      </c>
      <c r="AH180" s="2" t="s">
        <v>955</v>
      </c>
      <c r="AI180" s="1">
        <f t="shared" si="17"/>
        <v>-7.37</v>
      </c>
      <c r="AJ180" s="2" t="s">
        <v>567</v>
      </c>
      <c r="AK180" s="1">
        <f t="shared" si="18"/>
        <v>4.58</v>
      </c>
      <c r="AL180" s="2" t="s">
        <v>956</v>
      </c>
      <c r="AM180" s="1">
        <f t="shared" si="19"/>
        <v>14.16071429</v>
      </c>
      <c r="AN180" s="1">
        <v>6.0</v>
      </c>
    </row>
    <row r="181">
      <c r="A181" s="1" t="s">
        <v>957</v>
      </c>
      <c r="B181" s="1" t="s">
        <v>205</v>
      </c>
      <c r="C181" s="2" t="s">
        <v>958</v>
      </c>
      <c r="D181" s="1">
        <f t="shared" si="1"/>
        <v>317.5</v>
      </c>
      <c r="E181" s="2" t="s">
        <v>215</v>
      </c>
      <c r="F181" s="1">
        <f t="shared" si="2"/>
        <v>0.91</v>
      </c>
      <c r="G181" s="1" t="str">
        <f t="shared" si="3"/>
        <v>Very High</v>
      </c>
      <c r="H181" s="2" t="s">
        <v>959</v>
      </c>
      <c r="I181" s="1">
        <f t="shared" si="4"/>
        <v>49725</v>
      </c>
      <c r="J181" s="5">
        <v>46035.0</v>
      </c>
      <c r="K181" s="1">
        <f t="shared" si="5"/>
        <v>1.13</v>
      </c>
      <c r="L181" s="2" t="s">
        <v>38</v>
      </c>
      <c r="M181" s="1">
        <f t="shared" si="6"/>
        <v>0.3</v>
      </c>
      <c r="N181" s="2" t="s">
        <v>254</v>
      </c>
      <c r="O181" s="1">
        <f t="shared" si="7"/>
        <v>0.67</v>
      </c>
      <c r="P181" s="5">
        <v>46151.0</v>
      </c>
      <c r="Q181" s="1">
        <f t="shared" si="8"/>
        <v>5.9</v>
      </c>
      <c r="R181" s="2" t="s">
        <v>92</v>
      </c>
      <c r="S181" s="1">
        <f t="shared" si="9"/>
        <v>0.12</v>
      </c>
      <c r="T181" s="5">
        <v>46256.0</v>
      </c>
      <c r="U181" s="1">
        <f t="shared" si="10"/>
        <v>8.22</v>
      </c>
      <c r="V181" s="2" t="s">
        <v>419</v>
      </c>
      <c r="W181" s="1">
        <f t="shared" si="11"/>
        <v>1.49</v>
      </c>
      <c r="X181" s="2" t="s">
        <v>203</v>
      </c>
      <c r="Y181" s="1">
        <f t="shared" si="12"/>
        <v>0.28</v>
      </c>
      <c r="Z181" s="2" t="s">
        <v>287</v>
      </c>
      <c r="AA181" s="1">
        <f t="shared" si="13"/>
        <v>1.57</v>
      </c>
      <c r="AB181" s="2" t="s">
        <v>90</v>
      </c>
      <c r="AC181" s="1">
        <f t="shared" si="14"/>
        <v>0.33</v>
      </c>
      <c r="AD181" s="2" t="s">
        <v>93</v>
      </c>
      <c r="AE181" s="1">
        <f t="shared" si="15"/>
        <v>0.09</v>
      </c>
      <c r="AF181" s="2" t="s">
        <v>949</v>
      </c>
      <c r="AG181" s="1">
        <f t="shared" si="16"/>
        <v>3.76</v>
      </c>
      <c r="AH181" s="2" t="s">
        <v>960</v>
      </c>
      <c r="AI181" s="1">
        <f t="shared" si="17"/>
        <v>-4.46</v>
      </c>
      <c r="AJ181" s="2" t="s">
        <v>961</v>
      </c>
      <c r="AK181" s="1">
        <f t="shared" si="18"/>
        <v>4.75</v>
      </c>
      <c r="AL181" s="5">
        <v>46072.0</v>
      </c>
      <c r="AM181" s="1">
        <f t="shared" si="19"/>
        <v>2.19</v>
      </c>
      <c r="AN181" s="1">
        <v>6.0</v>
      </c>
    </row>
    <row r="182">
      <c r="A182" s="1" t="s">
        <v>962</v>
      </c>
      <c r="B182" s="1" t="s">
        <v>103</v>
      </c>
      <c r="C182" s="5">
        <v>46085.0</v>
      </c>
      <c r="D182" s="1">
        <f t="shared" si="1"/>
        <v>3.4</v>
      </c>
      <c r="E182" s="2" t="s">
        <v>44</v>
      </c>
      <c r="F182" s="1">
        <f t="shared" si="2"/>
        <v>0.79</v>
      </c>
      <c r="G182" s="1" t="str">
        <f t="shared" si="3"/>
        <v>High</v>
      </c>
      <c r="H182" s="2" t="s">
        <v>963</v>
      </c>
      <c r="I182" s="1">
        <f t="shared" si="4"/>
        <v>14238.1</v>
      </c>
      <c r="J182" s="2" t="s">
        <v>178</v>
      </c>
      <c r="K182" s="1">
        <f t="shared" si="5"/>
        <v>0.19</v>
      </c>
      <c r="L182" s="2" t="s">
        <v>303</v>
      </c>
      <c r="M182" s="1">
        <f t="shared" si="6"/>
        <v>0.98</v>
      </c>
      <c r="N182" s="2" t="s">
        <v>65</v>
      </c>
      <c r="O182" s="1">
        <f t="shared" si="7"/>
        <v>0.55</v>
      </c>
      <c r="P182" s="2" t="s">
        <v>303</v>
      </c>
      <c r="Q182" s="1">
        <f t="shared" si="8"/>
        <v>0.98</v>
      </c>
      <c r="R182" s="2" t="s">
        <v>181</v>
      </c>
      <c r="S182" s="1">
        <f t="shared" si="9"/>
        <v>0.05</v>
      </c>
      <c r="T182" s="2" t="s">
        <v>680</v>
      </c>
      <c r="U182" s="1">
        <f t="shared" si="10"/>
        <v>2.91</v>
      </c>
      <c r="V182" s="2" t="s">
        <v>519</v>
      </c>
      <c r="W182" s="1">
        <f t="shared" si="11"/>
        <v>1.89</v>
      </c>
      <c r="X182" s="2" t="s">
        <v>964</v>
      </c>
      <c r="Y182" s="1">
        <f t="shared" si="12"/>
        <v>4.86</v>
      </c>
      <c r="Z182" s="5">
        <v>46044.0</v>
      </c>
      <c r="AA182" s="1">
        <f t="shared" si="13"/>
        <v>1.22</v>
      </c>
      <c r="AB182" s="5">
        <v>46071.0</v>
      </c>
      <c r="AC182" s="1">
        <f t="shared" si="14"/>
        <v>2.18</v>
      </c>
      <c r="AD182" s="2" t="s">
        <v>79</v>
      </c>
      <c r="AE182" s="1">
        <f t="shared" si="15"/>
        <v>0.17</v>
      </c>
      <c r="AF182" s="2" t="s">
        <v>965</v>
      </c>
      <c r="AG182" s="1">
        <f t="shared" si="16"/>
        <v>10.32</v>
      </c>
      <c r="AH182" s="2" t="s">
        <v>966</v>
      </c>
      <c r="AI182" s="1">
        <f t="shared" si="17"/>
        <v>7.41</v>
      </c>
      <c r="AJ182" s="2" t="s">
        <v>539</v>
      </c>
      <c r="AK182" s="1">
        <f t="shared" si="18"/>
        <v>1.68</v>
      </c>
      <c r="AL182" s="2" t="s">
        <v>203</v>
      </c>
      <c r="AM182" s="1">
        <f t="shared" si="19"/>
        <v>0.28</v>
      </c>
      <c r="AN182" s="1" t="s">
        <v>124</v>
      </c>
    </row>
    <row r="183">
      <c r="A183" s="1" t="s">
        <v>967</v>
      </c>
      <c r="B183" s="1" t="s">
        <v>33</v>
      </c>
      <c r="C183" s="2" t="s">
        <v>968</v>
      </c>
      <c r="D183" s="1">
        <f t="shared" si="1"/>
        <v>28.54</v>
      </c>
      <c r="E183" s="2" t="s">
        <v>254</v>
      </c>
      <c r="F183" s="1">
        <f t="shared" si="2"/>
        <v>0.67</v>
      </c>
      <c r="G183" s="1" t="str">
        <f t="shared" si="3"/>
        <v>Medium</v>
      </c>
      <c r="H183" s="2" t="s">
        <v>969</v>
      </c>
      <c r="I183" s="1">
        <f t="shared" si="4"/>
        <v>1560.85</v>
      </c>
      <c r="J183" s="2" t="s">
        <v>275</v>
      </c>
      <c r="K183" s="1">
        <f t="shared" si="5"/>
        <v>0.62</v>
      </c>
      <c r="L183" s="2" t="s">
        <v>240</v>
      </c>
      <c r="M183" s="1">
        <f t="shared" si="6"/>
        <v>0.13</v>
      </c>
      <c r="N183" s="2" t="s">
        <v>41</v>
      </c>
      <c r="O183" s="1">
        <f t="shared" si="7"/>
        <v>0.08</v>
      </c>
      <c r="P183" s="2" t="s">
        <v>234</v>
      </c>
      <c r="Q183" s="1">
        <f t="shared" si="8"/>
        <v>1.41</v>
      </c>
      <c r="R183" s="2">
        <v>0.0</v>
      </c>
      <c r="S183" s="1">
        <f t="shared" si="9"/>
        <v>0</v>
      </c>
      <c r="T183" s="2" t="s">
        <v>355</v>
      </c>
      <c r="U183" s="1">
        <f t="shared" si="10"/>
        <v>2.32</v>
      </c>
      <c r="V183" s="2" t="s">
        <v>157</v>
      </c>
      <c r="W183" s="1">
        <f t="shared" si="11"/>
        <v>0.56</v>
      </c>
      <c r="X183" s="2" t="s">
        <v>40</v>
      </c>
      <c r="Y183" s="1">
        <f t="shared" si="12"/>
        <v>0.2</v>
      </c>
      <c r="Z183" s="2" t="s">
        <v>69</v>
      </c>
      <c r="AA183" s="1">
        <f t="shared" si="13"/>
        <v>0.06</v>
      </c>
      <c r="AB183" s="2" t="s">
        <v>82</v>
      </c>
      <c r="AC183" s="1">
        <f t="shared" si="14"/>
        <v>0.03</v>
      </c>
      <c r="AD183" s="2" t="s">
        <v>41</v>
      </c>
      <c r="AE183" s="1">
        <f t="shared" si="15"/>
        <v>0.08</v>
      </c>
      <c r="AF183" s="2" t="s">
        <v>249</v>
      </c>
      <c r="AG183" s="1">
        <f t="shared" si="16"/>
        <v>0.92</v>
      </c>
      <c r="AH183" s="2" t="s">
        <v>930</v>
      </c>
      <c r="AI183" s="1">
        <f t="shared" si="17"/>
        <v>-1.4</v>
      </c>
      <c r="AJ183" s="2" t="s">
        <v>546</v>
      </c>
      <c r="AK183" s="1">
        <f t="shared" si="18"/>
        <v>1.34</v>
      </c>
      <c r="AL183" s="2" t="s">
        <v>136</v>
      </c>
      <c r="AM183" s="1">
        <f t="shared" si="19"/>
        <v>2.52</v>
      </c>
      <c r="AN183" s="1">
        <v>6.0</v>
      </c>
    </row>
    <row r="184">
      <c r="A184" s="1" t="s">
        <v>970</v>
      </c>
      <c r="B184" s="1" t="s">
        <v>103</v>
      </c>
      <c r="C184" s="2" t="s">
        <v>971</v>
      </c>
      <c r="D184" s="1">
        <f t="shared" si="1"/>
        <v>29.96</v>
      </c>
      <c r="E184" s="2" t="s">
        <v>972</v>
      </c>
      <c r="F184" s="1">
        <f t="shared" si="2"/>
        <v>0.763846</v>
      </c>
      <c r="G184" s="1" t="str">
        <f t="shared" si="3"/>
        <v>High</v>
      </c>
      <c r="H184" s="2" t="s">
        <v>973</v>
      </c>
      <c r="I184" s="1">
        <f t="shared" si="4"/>
        <v>10237.8</v>
      </c>
      <c r="J184" s="2" t="s">
        <v>123</v>
      </c>
      <c r="K184" s="1">
        <f t="shared" si="5"/>
        <v>0.45</v>
      </c>
      <c r="L184" s="2" t="s">
        <v>128</v>
      </c>
      <c r="M184" s="1">
        <f t="shared" si="6"/>
        <v>0.74</v>
      </c>
      <c r="N184" s="2" t="s">
        <v>92</v>
      </c>
      <c r="O184" s="1">
        <f t="shared" si="7"/>
        <v>0.12</v>
      </c>
      <c r="P184" s="5">
        <v>46066.0</v>
      </c>
      <c r="Q184" s="1">
        <f t="shared" si="8"/>
        <v>2.13</v>
      </c>
      <c r="R184" s="2" t="s">
        <v>93</v>
      </c>
      <c r="S184" s="1">
        <f t="shared" si="9"/>
        <v>0.09</v>
      </c>
      <c r="T184" s="2" t="s">
        <v>974</v>
      </c>
      <c r="U184" s="1">
        <f t="shared" si="10"/>
        <v>3.57</v>
      </c>
      <c r="V184" s="2" t="s">
        <v>154</v>
      </c>
      <c r="W184" s="1">
        <f t="shared" si="11"/>
        <v>0.14</v>
      </c>
      <c r="X184" s="2" t="s">
        <v>138</v>
      </c>
      <c r="Y184" s="1">
        <f t="shared" si="12"/>
        <v>0.57</v>
      </c>
      <c r="Z184" s="2" t="s">
        <v>489</v>
      </c>
      <c r="AA184" s="1">
        <f t="shared" si="13"/>
        <v>1.79</v>
      </c>
      <c r="AB184" s="2" t="s">
        <v>45</v>
      </c>
      <c r="AC184" s="1">
        <f t="shared" si="14"/>
        <v>0.24</v>
      </c>
      <c r="AD184" s="2" t="s">
        <v>49</v>
      </c>
      <c r="AE184" s="1">
        <f t="shared" si="15"/>
        <v>0.04</v>
      </c>
      <c r="AF184" s="2" t="s">
        <v>975</v>
      </c>
      <c r="AG184" s="1">
        <f t="shared" si="16"/>
        <v>2.78</v>
      </c>
      <c r="AH184" s="2" t="s">
        <v>976</v>
      </c>
      <c r="AI184" s="1">
        <f t="shared" si="17"/>
        <v>-0.79</v>
      </c>
      <c r="AJ184" s="6">
        <v>46059.0</v>
      </c>
      <c r="AK184" s="1">
        <f t="shared" si="18"/>
        <v>2.06</v>
      </c>
      <c r="AL184" s="5">
        <v>46050.0</v>
      </c>
      <c r="AM184" s="1">
        <f t="shared" si="19"/>
        <v>1.28</v>
      </c>
      <c r="AN184" s="1">
        <v>5.0</v>
      </c>
    </row>
    <row r="185">
      <c r="A185" s="1" t="s">
        <v>977</v>
      </c>
      <c r="B185" s="1" t="s">
        <v>134</v>
      </c>
      <c r="C185" s="2" t="s">
        <v>978</v>
      </c>
      <c r="D185" s="1">
        <f t="shared" si="1"/>
        <v>90.8</v>
      </c>
      <c r="E185" s="2" t="s">
        <v>118</v>
      </c>
      <c r="F185" s="1">
        <f t="shared" si="2"/>
        <v>0.66</v>
      </c>
      <c r="G185" s="1" t="str">
        <f t="shared" si="3"/>
        <v>Medium</v>
      </c>
      <c r="H185" s="2" t="s">
        <v>979</v>
      </c>
      <c r="I185" s="1">
        <f t="shared" si="4"/>
        <v>1532.31</v>
      </c>
      <c r="J185" s="2" t="s">
        <v>51</v>
      </c>
      <c r="K185" s="1">
        <f t="shared" si="5"/>
        <v>0.5</v>
      </c>
      <c r="L185" s="2" t="s">
        <v>80</v>
      </c>
      <c r="M185" s="1">
        <f t="shared" si="6"/>
        <v>0.01</v>
      </c>
      <c r="N185" s="2" t="s">
        <v>178</v>
      </c>
      <c r="O185" s="1">
        <f t="shared" si="7"/>
        <v>0.19</v>
      </c>
      <c r="P185" s="2" t="s">
        <v>44</v>
      </c>
      <c r="Q185" s="1">
        <f t="shared" si="8"/>
        <v>0.79</v>
      </c>
      <c r="R185" s="2" t="s">
        <v>181</v>
      </c>
      <c r="S185" s="1">
        <f t="shared" si="9"/>
        <v>0.05</v>
      </c>
      <c r="T185" s="2" t="s">
        <v>282</v>
      </c>
      <c r="U185" s="1">
        <f t="shared" si="10"/>
        <v>1.65</v>
      </c>
      <c r="V185" s="2" t="s">
        <v>65</v>
      </c>
      <c r="W185" s="1">
        <f t="shared" si="11"/>
        <v>0.55</v>
      </c>
      <c r="X185" s="2" t="s">
        <v>80</v>
      </c>
      <c r="Y185" s="1">
        <f t="shared" si="12"/>
        <v>0.01</v>
      </c>
      <c r="Z185" s="2" t="s">
        <v>79</v>
      </c>
      <c r="AA185" s="1">
        <f t="shared" si="13"/>
        <v>0.17</v>
      </c>
      <c r="AB185" s="2" t="s">
        <v>78</v>
      </c>
      <c r="AC185" s="1">
        <f t="shared" si="14"/>
        <v>0.16</v>
      </c>
      <c r="AD185" s="2" t="s">
        <v>114</v>
      </c>
      <c r="AE185" s="1">
        <f t="shared" si="15"/>
        <v>0.1</v>
      </c>
      <c r="AF185" s="2">
        <v>1.0</v>
      </c>
      <c r="AG185" s="1">
        <f t="shared" si="16"/>
        <v>1</v>
      </c>
      <c r="AH185" s="2" t="s">
        <v>980</v>
      </c>
      <c r="AI185" s="1">
        <f t="shared" si="17"/>
        <v>-0.65</v>
      </c>
      <c r="AJ185" s="2" t="s">
        <v>540</v>
      </c>
      <c r="AK185" s="1">
        <f t="shared" si="18"/>
        <v>0.95</v>
      </c>
      <c r="AL185" s="2" t="s">
        <v>468</v>
      </c>
      <c r="AM185" s="1">
        <f t="shared" si="19"/>
        <v>1.66</v>
      </c>
      <c r="AN185" s="1">
        <v>6.0</v>
      </c>
    </row>
    <row r="186">
      <c r="A186" s="1" t="s">
        <v>981</v>
      </c>
      <c r="B186" s="1" t="s">
        <v>134</v>
      </c>
      <c r="C186" s="2" t="s">
        <v>80</v>
      </c>
      <c r="D186" s="1">
        <f t="shared" si="1"/>
        <v>0.01</v>
      </c>
      <c r="F186" s="1" t="str">
        <f t="shared" si="2"/>
        <v/>
      </c>
      <c r="G186" s="1" t="str">
        <f t="shared" si="3"/>
        <v>Unknown</v>
      </c>
      <c r="I186" s="1" t="str">
        <f t="shared" si="4"/>
        <v/>
      </c>
      <c r="K186" s="1" t="str">
        <f t="shared" si="5"/>
        <v/>
      </c>
      <c r="M186" s="1" t="str">
        <f t="shared" si="6"/>
        <v/>
      </c>
      <c r="O186" s="1" t="str">
        <f t="shared" si="7"/>
        <v/>
      </c>
      <c r="Q186" s="1" t="str">
        <f t="shared" si="8"/>
        <v/>
      </c>
      <c r="S186" s="1" t="str">
        <f t="shared" si="9"/>
        <v/>
      </c>
      <c r="T186" s="6">
        <v>46060.0</v>
      </c>
      <c r="U186" s="1">
        <f t="shared" si="10"/>
        <v>2.07</v>
      </c>
      <c r="W186" s="1" t="str">
        <f t="shared" si="11"/>
        <v/>
      </c>
      <c r="Y186" s="1" t="str">
        <f t="shared" si="12"/>
        <v/>
      </c>
      <c r="AA186" s="1" t="str">
        <f t="shared" si="13"/>
        <v/>
      </c>
      <c r="AC186" s="1" t="str">
        <f t="shared" si="14"/>
        <v/>
      </c>
      <c r="AE186" s="1" t="str">
        <f t="shared" si="15"/>
        <v/>
      </c>
      <c r="AF186" s="2" t="s">
        <v>528</v>
      </c>
      <c r="AG186" s="1">
        <f t="shared" si="16"/>
        <v>1.51</v>
      </c>
      <c r="AH186" s="2" t="s">
        <v>789</v>
      </c>
      <c r="AI186" s="1">
        <f t="shared" si="17"/>
        <v>-0.56</v>
      </c>
      <c r="AJ186" s="5">
        <v>46041.0</v>
      </c>
      <c r="AK186" s="1">
        <f t="shared" si="18"/>
        <v>1.19</v>
      </c>
      <c r="AL186" s="2" t="s">
        <v>379</v>
      </c>
      <c r="AM186" s="1">
        <f t="shared" si="19"/>
        <v>1.37</v>
      </c>
      <c r="AN186" s="1" t="s">
        <v>210</v>
      </c>
    </row>
    <row r="187">
      <c r="A187" s="1" t="s">
        <v>982</v>
      </c>
      <c r="B187" s="1" t="s">
        <v>33</v>
      </c>
      <c r="C187" s="2" t="s">
        <v>983</v>
      </c>
      <c r="D187" s="1">
        <f t="shared" si="1"/>
        <v>23.85</v>
      </c>
      <c r="E187" s="2" t="s">
        <v>51</v>
      </c>
      <c r="F187" s="1">
        <f t="shared" si="2"/>
        <v>0.5</v>
      </c>
      <c r="G187" s="1" t="str">
        <f t="shared" si="3"/>
        <v>Low</v>
      </c>
      <c r="H187" s="2" t="s">
        <v>984</v>
      </c>
      <c r="I187" s="1">
        <f t="shared" si="4"/>
        <v>1302.3</v>
      </c>
      <c r="J187" s="2" t="s">
        <v>130</v>
      </c>
      <c r="K187" s="1">
        <f t="shared" si="5"/>
        <v>0.34</v>
      </c>
      <c r="L187" s="2" t="s">
        <v>154</v>
      </c>
      <c r="M187" s="1">
        <f t="shared" si="6"/>
        <v>0.14</v>
      </c>
      <c r="N187" s="2" t="s">
        <v>49</v>
      </c>
      <c r="O187" s="1">
        <f t="shared" si="7"/>
        <v>0.04</v>
      </c>
      <c r="P187" s="2" t="s">
        <v>201</v>
      </c>
      <c r="Q187" s="1">
        <f t="shared" si="8"/>
        <v>0.42</v>
      </c>
      <c r="R187" s="2" t="s">
        <v>49</v>
      </c>
      <c r="S187" s="1">
        <f t="shared" si="9"/>
        <v>0.04</v>
      </c>
      <c r="T187" s="6">
        <v>46025.0</v>
      </c>
      <c r="U187" s="1">
        <f t="shared" si="10"/>
        <v>1.03</v>
      </c>
      <c r="V187" s="2" t="s">
        <v>93</v>
      </c>
      <c r="W187" s="1">
        <f t="shared" si="11"/>
        <v>0.09</v>
      </c>
      <c r="X187" s="2" t="s">
        <v>92</v>
      </c>
      <c r="Y187" s="1">
        <f t="shared" si="12"/>
        <v>0.12</v>
      </c>
      <c r="Z187" s="2" t="s">
        <v>49</v>
      </c>
      <c r="AA187" s="1">
        <f t="shared" si="13"/>
        <v>0.04</v>
      </c>
      <c r="AB187" s="2" t="s">
        <v>40</v>
      </c>
      <c r="AC187" s="1">
        <f t="shared" si="14"/>
        <v>0.2</v>
      </c>
      <c r="AD187" s="2" t="s">
        <v>49</v>
      </c>
      <c r="AE187" s="1">
        <f t="shared" si="15"/>
        <v>0.04</v>
      </c>
      <c r="AF187" s="2" t="s">
        <v>51</v>
      </c>
      <c r="AG187" s="1">
        <f t="shared" si="16"/>
        <v>0.5</v>
      </c>
      <c r="AH187" s="2" t="s">
        <v>235</v>
      </c>
      <c r="AI187" s="1">
        <f t="shared" si="17"/>
        <v>-0.53</v>
      </c>
      <c r="AJ187" s="2" t="s">
        <v>83</v>
      </c>
      <c r="AK187" s="1">
        <f t="shared" si="18"/>
        <v>0.59</v>
      </c>
      <c r="AL187" s="6">
        <v>46059.0</v>
      </c>
      <c r="AM187" s="1">
        <f t="shared" si="19"/>
        <v>2.06</v>
      </c>
      <c r="AN187" s="1">
        <v>5.0</v>
      </c>
    </row>
    <row r="188">
      <c r="A188" s="1" t="s">
        <v>985</v>
      </c>
      <c r="B188" s="1" t="s">
        <v>73</v>
      </c>
      <c r="C188" s="2" t="s">
        <v>986</v>
      </c>
      <c r="D188" s="1">
        <f t="shared" si="1"/>
        <v>14.08</v>
      </c>
      <c r="E188" s="2" t="s">
        <v>191</v>
      </c>
      <c r="F188" s="1">
        <f t="shared" si="2"/>
        <v>0.58</v>
      </c>
      <c r="G188" s="1" t="str">
        <f t="shared" si="3"/>
        <v>Medium</v>
      </c>
      <c r="H188" s="2" t="s">
        <v>987</v>
      </c>
      <c r="I188" s="1">
        <f t="shared" si="4"/>
        <v>1740.64</v>
      </c>
      <c r="J188" s="2" t="s">
        <v>178</v>
      </c>
      <c r="K188" s="1">
        <f t="shared" si="5"/>
        <v>0.19</v>
      </c>
      <c r="L188" s="2" t="s">
        <v>42</v>
      </c>
      <c r="M188" s="1">
        <f t="shared" si="6"/>
        <v>0.18</v>
      </c>
      <c r="N188" s="2" t="s">
        <v>90</v>
      </c>
      <c r="O188" s="1">
        <f t="shared" si="7"/>
        <v>0.33</v>
      </c>
      <c r="P188" s="2" t="s">
        <v>45</v>
      </c>
      <c r="Q188" s="1">
        <f t="shared" si="8"/>
        <v>0.24</v>
      </c>
      <c r="R188" s="2" t="s">
        <v>80</v>
      </c>
      <c r="S188" s="1">
        <f t="shared" si="9"/>
        <v>0.01</v>
      </c>
      <c r="T188" s="2" t="s">
        <v>225</v>
      </c>
      <c r="U188" s="1">
        <f t="shared" si="10"/>
        <v>0.99</v>
      </c>
      <c r="V188" s="2" t="s">
        <v>45</v>
      </c>
      <c r="W188" s="1">
        <f t="shared" si="11"/>
        <v>0.24</v>
      </c>
      <c r="X188" s="2" t="s">
        <v>107</v>
      </c>
      <c r="Y188" s="1">
        <f t="shared" si="12"/>
        <v>0.94</v>
      </c>
      <c r="Z188" s="2" t="s">
        <v>225</v>
      </c>
      <c r="AA188" s="1">
        <f t="shared" si="13"/>
        <v>0.99</v>
      </c>
      <c r="AB188" s="2" t="s">
        <v>48</v>
      </c>
      <c r="AC188" s="1">
        <f t="shared" si="14"/>
        <v>0.02</v>
      </c>
      <c r="AD188" s="2" t="s">
        <v>49</v>
      </c>
      <c r="AE188" s="1">
        <f t="shared" si="15"/>
        <v>0.04</v>
      </c>
      <c r="AF188" s="5">
        <v>46076.0</v>
      </c>
      <c r="AG188" s="1">
        <f t="shared" si="16"/>
        <v>2.23</v>
      </c>
      <c r="AH188" s="5">
        <v>46046.0</v>
      </c>
      <c r="AI188" s="1">
        <f t="shared" si="17"/>
        <v>1.24</v>
      </c>
      <c r="AJ188" s="2" t="s">
        <v>138</v>
      </c>
      <c r="AK188" s="1">
        <f t="shared" si="18"/>
        <v>0.57</v>
      </c>
      <c r="AL188" s="2" t="s">
        <v>132</v>
      </c>
      <c r="AM188" s="1">
        <f t="shared" si="19"/>
        <v>0.44</v>
      </c>
      <c r="AN188" s="1">
        <v>6.0</v>
      </c>
    </row>
    <row r="189">
      <c r="A189" s="1" t="s">
        <v>988</v>
      </c>
      <c r="B189" s="1" t="s">
        <v>73</v>
      </c>
      <c r="C189" s="2" t="s">
        <v>989</v>
      </c>
      <c r="D189" s="1">
        <f t="shared" si="1"/>
        <v>13.72</v>
      </c>
      <c r="E189" s="2" t="s">
        <v>231</v>
      </c>
      <c r="F189" s="1">
        <f t="shared" si="2"/>
        <v>0.49</v>
      </c>
      <c r="G189" s="1" t="str">
        <f t="shared" si="3"/>
        <v>Low</v>
      </c>
      <c r="H189" s="2" t="s">
        <v>990</v>
      </c>
      <c r="I189" s="1">
        <f t="shared" si="4"/>
        <v>865.91</v>
      </c>
      <c r="J189" s="2" t="s">
        <v>40</v>
      </c>
      <c r="K189" s="1">
        <f t="shared" si="5"/>
        <v>0.2</v>
      </c>
      <c r="L189" s="2" t="s">
        <v>310</v>
      </c>
      <c r="M189" s="1">
        <f t="shared" si="6"/>
        <v>0.32</v>
      </c>
      <c r="N189" s="2" t="s">
        <v>67</v>
      </c>
      <c r="O189" s="1">
        <f t="shared" si="7"/>
        <v>0.29</v>
      </c>
      <c r="P189" s="2" t="s">
        <v>465</v>
      </c>
      <c r="Q189" s="1">
        <f t="shared" si="8"/>
        <v>0.53</v>
      </c>
      <c r="R189" s="2" t="s">
        <v>80</v>
      </c>
      <c r="S189" s="1">
        <f t="shared" si="9"/>
        <v>0.01</v>
      </c>
      <c r="T189" s="2" t="s">
        <v>379</v>
      </c>
      <c r="U189" s="1">
        <f t="shared" si="10"/>
        <v>1.37</v>
      </c>
      <c r="V189" s="2" t="s">
        <v>91</v>
      </c>
      <c r="W189" s="1">
        <f t="shared" si="11"/>
        <v>0.15</v>
      </c>
      <c r="X189" s="2" t="s">
        <v>310</v>
      </c>
      <c r="Y189" s="1">
        <f t="shared" si="12"/>
        <v>0.32</v>
      </c>
      <c r="Z189" s="2" t="s">
        <v>92</v>
      </c>
      <c r="AA189" s="1">
        <f t="shared" si="13"/>
        <v>0.12</v>
      </c>
      <c r="AB189" s="2" t="s">
        <v>80</v>
      </c>
      <c r="AC189" s="1">
        <f t="shared" si="14"/>
        <v>0.01</v>
      </c>
      <c r="AD189" s="2" t="s">
        <v>48</v>
      </c>
      <c r="AE189" s="1">
        <f t="shared" si="15"/>
        <v>0.02</v>
      </c>
      <c r="AF189" s="2" t="s">
        <v>275</v>
      </c>
      <c r="AG189" s="1">
        <f t="shared" si="16"/>
        <v>0.62</v>
      </c>
      <c r="AH189" s="2" t="s">
        <v>545</v>
      </c>
      <c r="AI189" s="1">
        <f t="shared" si="17"/>
        <v>-0.75</v>
      </c>
      <c r="AJ189" s="2" t="s">
        <v>44</v>
      </c>
      <c r="AK189" s="1">
        <f t="shared" si="18"/>
        <v>0.79</v>
      </c>
      <c r="AL189" s="5">
        <v>46055.0</v>
      </c>
      <c r="AM189" s="1">
        <f t="shared" si="19"/>
        <v>2.2</v>
      </c>
      <c r="AN189" s="1">
        <v>6.0</v>
      </c>
    </row>
    <row r="190">
      <c r="A190" s="21"/>
      <c r="B190" s="21"/>
      <c r="D190" s="21"/>
      <c r="F190" s="21"/>
      <c r="G190" s="21"/>
      <c r="I190" s="21"/>
      <c r="K190" s="21"/>
      <c r="M190" s="21"/>
      <c r="O190" s="21"/>
      <c r="Q190" s="21"/>
      <c r="S190" s="21"/>
      <c r="U190" s="21"/>
      <c r="W190" s="21"/>
      <c r="Y190" s="21"/>
      <c r="AA190" s="21"/>
      <c r="AC190" s="21"/>
      <c r="AE190" s="21"/>
      <c r="AG190" s="21"/>
      <c r="AI190" s="21"/>
      <c r="AK190" s="21"/>
      <c r="AM190" s="21"/>
      <c r="AN190" s="21"/>
    </row>
    <row r="191">
      <c r="A191" s="21"/>
      <c r="B191" s="21"/>
      <c r="D191" s="21"/>
      <c r="F191" s="21"/>
      <c r="G191" s="21"/>
      <c r="I191" s="21"/>
      <c r="K191" s="21"/>
      <c r="M191" s="21"/>
      <c r="O191" s="21"/>
      <c r="Q191" s="21"/>
      <c r="S191" s="21"/>
      <c r="U191" s="21"/>
      <c r="W191" s="21"/>
      <c r="Y191" s="21"/>
      <c r="AA191" s="21"/>
      <c r="AC191" s="21"/>
      <c r="AE191" s="21"/>
      <c r="AG191" s="21"/>
      <c r="AI191" s="21"/>
      <c r="AK191" s="21"/>
      <c r="AM191" s="21"/>
      <c r="AN191" s="21"/>
    </row>
    <row r="192">
      <c r="A192" s="21"/>
      <c r="B192" s="21"/>
      <c r="D192" s="21"/>
      <c r="F192" s="21"/>
      <c r="G192" s="21"/>
      <c r="I192" s="21"/>
      <c r="K192" s="21"/>
      <c r="M192" s="21"/>
      <c r="O192" s="21"/>
      <c r="Q192" s="21"/>
      <c r="S192" s="21"/>
      <c r="U192" s="21"/>
      <c r="W192" s="21"/>
      <c r="Y192" s="21"/>
      <c r="AA192" s="21"/>
      <c r="AC192" s="21"/>
      <c r="AE192" s="21"/>
      <c r="AG192" s="21"/>
      <c r="AI192" s="21"/>
      <c r="AK192" s="21"/>
      <c r="AM192" s="21"/>
      <c r="AN192" s="21"/>
    </row>
    <row r="193">
      <c r="A193" s="21"/>
      <c r="B193" s="21"/>
      <c r="D193" s="21"/>
      <c r="F193" s="21"/>
      <c r="G193" s="21"/>
      <c r="I193" s="21"/>
      <c r="K193" s="21"/>
      <c r="M193" s="21"/>
      <c r="O193" s="21"/>
      <c r="Q193" s="21"/>
      <c r="S193" s="21"/>
      <c r="U193" s="21"/>
      <c r="W193" s="21"/>
      <c r="Y193" s="21"/>
      <c r="AA193" s="21"/>
      <c r="AC193" s="21"/>
      <c r="AE193" s="21"/>
      <c r="AG193" s="21"/>
      <c r="AI193" s="21"/>
      <c r="AK193" s="21"/>
      <c r="AM193" s="21"/>
      <c r="AN193" s="21"/>
    </row>
    <row r="194">
      <c r="A194" s="21"/>
      <c r="B194" s="21"/>
      <c r="D194" s="21"/>
      <c r="F194" s="21"/>
      <c r="G194" s="21"/>
      <c r="I194" s="21"/>
      <c r="K194" s="21"/>
      <c r="M194" s="21"/>
      <c r="O194" s="21"/>
      <c r="Q194" s="21"/>
      <c r="S194" s="21"/>
      <c r="U194" s="21"/>
      <c r="W194" s="21"/>
      <c r="Y194" s="21"/>
      <c r="AA194" s="21"/>
      <c r="AC194" s="21"/>
      <c r="AE194" s="21"/>
      <c r="AG194" s="21"/>
      <c r="AI194" s="21"/>
      <c r="AK194" s="21"/>
      <c r="AM194" s="21"/>
      <c r="AN194" s="21"/>
    </row>
    <row r="195">
      <c r="A195" s="21"/>
      <c r="B195" s="21"/>
      <c r="D195" s="21"/>
      <c r="F195" s="21"/>
      <c r="G195" s="21"/>
      <c r="I195" s="21"/>
      <c r="K195" s="21"/>
      <c r="M195" s="21"/>
      <c r="O195" s="21"/>
      <c r="Q195" s="21"/>
      <c r="S195" s="21"/>
      <c r="U195" s="21"/>
      <c r="W195" s="21"/>
      <c r="Y195" s="21"/>
      <c r="AA195" s="21"/>
      <c r="AC195" s="21"/>
      <c r="AE195" s="21"/>
      <c r="AG195" s="21"/>
      <c r="AI195" s="21"/>
      <c r="AK195" s="21"/>
      <c r="AM195" s="21"/>
      <c r="AN195" s="21"/>
    </row>
    <row r="196">
      <c r="A196" s="21"/>
      <c r="B196" s="21"/>
      <c r="D196" s="21"/>
      <c r="F196" s="21"/>
      <c r="G196" s="21"/>
      <c r="I196" s="21"/>
      <c r="K196" s="21"/>
      <c r="M196" s="21"/>
      <c r="O196" s="21"/>
      <c r="Q196" s="21"/>
      <c r="S196" s="21"/>
      <c r="U196" s="21"/>
      <c r="W196" s="21"/>
      <c r="Y196" s="21"/>
      <c r="AA196" s="21"/>
      <c r="AC196" s="21"/>
      <c r="AE196" s="21"/>
      <c r="AG196" s="21"/>
      <c r="AI196" s="21"/>
      <c r="AK196" s="21"/>
      <c r="AM196" s="21"/>
      <c r="AN196" s="21"/>
    </row>
    <row r="197">
      <c r="A197" s="21"/>
      <c r="B197" s="21"/>
      <c r="D197" s="21"/>
      <c r="F197" s="21"/>
      <c r="G197" s="21"/>
      <c r="I197" s="21"/>
      <c r="K197" s="21"/>
      <c r="M197" s="21"/>
      <c r="O197" s="21"/>
      <c r="Q197" s="21"/>
      <c r="S197" s="21"/>
      <c r="U197" s="21"/>
      <c r="W197" s="21"/>
      <c r="Y197" s="21"/>
      <c r="AA197" s="21"/>
      <c r="AC197" s="21"/>
      <c r="AE197" s="21"/>
      <c r="AG197" s="21"/>
      <c r="AI197" s="21"/>
      <c r="AK197" s="21"/>
      <c r="AM197" s="21"/>
      <c r="AN197" s="21"/>
    </row>
    <row r="198">
      <c r="A198" s="21"/>
      <c r="B198" s="21"/>
      <c r="D198" s="21"/>
      <c r="F198" s="21"/>
      <c r="G198" s="21"/>
      <c r="I198" s="21"/>
      <c r="K198" s="21"/>
      <c r="M198" s="21"/>
      <c r="O198" s="21"/>
      <c r="Q198" s="21"/>
      <c r="S198" s="21"/>
      <c r="U198" s="21"/>
      <c r="W198" s="21"/>
      <c r="Y198" s="21"/>
      <c r="AA198" s="21"/>
      <c r="AC198" s="21"/>
      <c r="AE198" s="21"/>
      <c r="AG198" s="21"/>
      <c r="AI198" s="21"/>
      <c r="AK198" s="21"/>
      <c r="AM198" s="21"/>
      <c r="AN198" s="21"/>
    </row>
    <row r="199">
      <c r="A199" s="21"/>
      <c r="B199" s="21"/>
      <c r="D199" s="21"/>
      <c r="F199" s="21"/>
      <c r="G199" s="21"/>
      <c r="I199" s="21"/>
      <c r="K199" s="21"/>
      <c r="M199" s="21"/>
      <c r="O199" s="21"/>
      <c r="Q199" s="21"/>
      <c r="S199" s="21"/>
      <c r="U199" s="21"/>
      <c r="W199" s="21"/>
      <c r="Y199" s="21"/>
      <c r="AA199" s="21"/>
      <c r="AC199" s="21"/>
      <c r="AE199" s="21"/>
      <c r="AG199" s="21"/>
      <c r="AI199" s="21"/>
      <c r="AK199" s="21"/>
      <c r="AM199" s="21"/>
      <c r="AN199" s="21"/>
    </row>
    <row r="200">
      <c r="A200" s="21"/>
      <c r="B200" s="21"/>
      <c r="D200" s="21"/>
      <c r="F200" s="21"/>
      <c r="G200" s="21"/>
      <c r="I200" s="21"/>
      <c r="K200" s="21"/>
      <c r="M200" s="21"/>
      <c r="O200" s="21"/>
      <c r="Q200" s="21"/>
      <c r="S200" s="21"/>
      <c r="U200" s="21"/>
      <c r="W200" s="21"/>
      <c r="Y200" s="21"/>
      <c r="AA200" s="21"/>
      <c r="AC200" s="21"/>
      <c r="AE200" s="21"/>
      <c r="AG200" s="21"/>
      <c r="AI200" s="21"/>
      <c r="AK200" s="21"/>
      <c r="AM200" s="21"/>
      <c r="AN200" s="21"/>
    </row>
    <row r="201">
      <c r="A201" s="21"/>
      <c r="B201" s="21"/>
      <c r="D201" s="21"/>
      <c r="F201" s="21"/>
      <c r="G201" s="21"/>
      <c r="I201" s="21"/>
      <c r="K201" s="21"/>
      <c r="M201" s="21"/>
      <c r="O201" s="21"/>
      <c r="Q201" s="21"/>
      <c r="S201" s="21"/>
      <c r="U201" s="21"/>
      <c r="W201" s="21"/>
      <c r="Y201" s="21"/>
      <c r="AA201" s="21"/>
      <c r="AC201" s="21"/>
      <c r="AE201" s="21"/>
      <c r="AG201" s="21"/>
      <c r="AI201" s="21"/>
      <c r="AK201" s="21"/>
      <c r="AM201" s="21"/>
      <c r="AN201" s="21"/>
    </row>
    <row r="202">
      <c r="A202" s="21"/>
      <c r="B202" s="21"/>
      <c r="D202" s="21"/>
      <c r="F202" s="21"/>
      <c r="G202" s="21"/>
      <c r="I202" s="21"/>
      <c r="K202" s="21"/>
      <c r="M202" s="21"/>
      <c r="O202" s="21"/>
      <c r="Q202" s="21"/>
      <c r="S202" s="21"/>
      <c r="U202" s="21"/>
      <c r="W202" s="21"/>
      <c r="Y202" s="21"/>
      <c r="AA202" s="21"/>
      <c r="AC202" s="21"/>
      <c r="AE202" s="21"/>
      <c r="AG202" s="21"/>
      <c r="AI202" s="21"/>
      <c r="AK202" s="21"/>
      <c r="AM202" s="21"/>
      <c r="AN202" s="21"/>
    </row>
    <row r="203">
      <c r="A203" s="21"/>
      <c r="B203" s="21"/>
      <c r="D203" s="21"/>
      <c r="F203" s="21"/>
      <c r="G203" s="21"/>
      <c r="I203" s="21"/>
      <c r="K203" s="21"/>
      <c r="M203" s="21"/>
      <c r="O203" s="21"/>
      <c r="Q203" s="21"/>
      <c r="S203" s="21"/>
      <c r="U203" s="21"/>
      <c r="W203" s="21"/>
      <c r="Y203" s="21"/>
      <c r="AA203" s="21"/>
      <c r="AC203" s="21"/>
      <c r="AE203" s="21"/>
      <c r="AG203" s="21"/>
      <c r="AI203" s="21"/>
      <c r="AK203" s="21"/>
      <c r="AM203" s="21"/>
      <c r="AN203" s="21"/>
    </row>
    <row r="204">
      <c r="A204" s="21"/>
      <c r="B204" s="21"/>
      <c r="D204" s="21"/>
      <c r="F204" s="21"/>
      <c r="G204" s="21"/>
      <c r="I204" s="21"/>
      <c r="K204" s="21"/>
      <c r="M204" s="21"/>
      <c r="O204" s="21"/>
      <c r="Q204" s="21"/>
      <c r="S204" s="21"/>
      <c r="U204" s="21"/>
      <c r="W204" s="21"/>
      <c r="Y204" s="21"/>
      <c r="AA204" s="21"/>
      <c r="AC204" s="21"/>
      <c r="AE204" s="21"/>
      <c r="AG204" s="21"/>
      <c r="AI204" s="21"/>
      <c r="AK204" s="21"/>
      <c r="AM204" s="21"/>
      <c r="AN204" s="21"/>
    </row>
    <row r="205">
      <c r="A205" s="21"/>
      <c r="B205" s="21"/>
      <c r="D205" s="21"/>
      <c r="F205" s="21"/>
      <c r="G205" s="21"/>
      <c r="I205" s="21"/>
      <c r="K205" s="21"/>
      <c r="M205" s="21"/>
      <c r="O205" s="21"/>
      <c r="Q205" s="21"/>
      <c r="S205" s="21"/>
      <c r="U205" s="21"/>
      <c r="W205" s="21"/>
      <c r="Y205" s="21"/>
      <c r="AA205" s="21"/>
      <c r="AC205" s="21"/>
      <c r="AE205" s="21"/>
      <c r="AG205" s="21"/>
      <c r="AI205" s="21"/>
      <c r="AK205" s="21"/>
      <c r="AM205" s="21"/>
      <c r="AN205" s="21"/>
    </row>
    <row r="206">
      <c r="A206" s="21"/>
      <c r="B206" s="21"/>
      <c r="D206" s="21"/>
      <c r="F206" s="21"/>
      <c r="G206" s="21"/>
      <c r="I206" s="21"/>
      <c r="K206" s="21"/>
      <c r="M206" s="21"/>
      <c r="O206" s="21"/>
      <c r="Q206" s="21"/>
      <c r="S206" s="21"/>
      <c r="U206" s="21"/>
      <c r="W206" s="21"/>
      <c r="Y206" s="21"/>
      <c r="AA206" s="21"/>
      <c r="AC206" s="21"/>
      <c r="AE206" s="21"/>
      <c r="AG206" s="21"/>
      <c r="AI206" s="21"/>
      <c r="AK206" s="21"/>
      <c r="AM206" s="21"/>
      <c r="AN206" s="21"/>
    </row>
    <row r="207">
      <c r="A207" s="21"/>
      <c r="B207" s="21"/>
      <c r="D207" s="21"/>
      <c r="F207" s="21"/>
      <c r="G207" s="21"/>
      <c r="I207" s="21"/>
      <c r="K207" s="21"/>
      <c r="M207" s="21"/>
      <c r="O207" s="21"/>
      <c r="Q207" s="21"/>
      <c r="S207" s="21"/>
      <c r="U207" s="21"/>
      <c r="W207" s="21"/>
      <c r="Y207" s="21"/>
      <c r="AA207" s="21"/>
      <c r="AC207" s="21"/>
      <c r="AE207" s="21"/>
      <c r="AG207" s="21"/>
      <c r="AI207" s="21"/>
      <c r="AK207" s="21"/>
      <c r="AM207" s="21"/>
      <c r="AN207" s="21"/>
    </row>
    <row r="208">
      <c r="A208" s="21"/>
      <c r="B208" s="21"/>
      <c r="D208" s="21"/>
      <c r="F208" s="21"/>
      <c r="G208" s="21"/>
      <c r="I208" s="21"/>
      <c r="K208" s="21"/>
      <c r="M208" s="21"/>
      <c r="O208" s="21"/>
      <c r="Q208" s="21"/>
      <c r="S208" s="21"/>
      <c r="U208" s="21"/>
      <c r="W208" s="21"/>
      <c r="Y208" s="21"/>
      <c r="AA208" s="21"/>
      <c r="AC208" s="21"/>
      <c r="AE208" s="21"/>
      <c r="AG208" s="21"/>
      <c r="AI208" s="21"/>
      <c r="AK208" s="21"/>
      <c r="AM208" s="21"/>
      <c r="AN208" s="21"/>
    </row>
    <row r="209">
      <c r="A209" s="21"/>
      <c r="B209" s="21"/>
      <c r="D209" s="21"/>
      <c r="F209" s="21"/>
      <c r="G209" s="21"/>
      <c r="I209" s="21"/>
      <c r="K209" s="21"/>
      <c r="M209" s="21"/>
      <c r="O209" s="21"/>
      <c r="Q209" s="21"/>
      <c r="S209" s="21"/>
      <c r="U209" s="21"/>
      <c r="W209" s="21"/>
      <c r="Y209" s="21"/>
      <c r="AA209" s="21"/>
      <c r="AC209" s="21"/>
      <c r="AE209" s="21"/>
      <c r="AG209" s="21"/>
      <c r="AI209" s="21"/>
      <c r="AK209" s="21"/>
      <c r="AM209" s="21"/>
      <c r="AN209" s="21"/>
    </row>
    <row r="210">
      <c r="A210" s="21"/>
      <c r="B210" s="21"/>
      <c r="D210" s="21"/>
      <c r="F210" s="21"/>
      <c r="G210" s="21"/>
      <c r="I210" s="21"/>
      <c r="K210" s="21"/>
      <c r="M210" s="21"/>
      <c r="O210" s="21"/>
      <c r="Q210" s="21"/>
      <c r="S210" s="21"/>
      <c r="U210" s="21"/>
      <c r="W210" s="21"/>
      <c r="Y210" s="21"/>
      <c r="AA210" s="21"/>
      <c r="AC210" s="21"/>
      <c r="AE210" s="21"/>
      <c r="AG210" s="21"/>
      <c r="AI210" s="21"/>
      <c r="AK210" s="21"/>
      <c r="AM210" s="21"/>
      <c r="AN210" s="21"/>
    </row>
    <row r="211">
      <c r="A211" s="21"/>
      <c r="B211" s="21"/>
      <c r="D211" s="21"/>
      <c r="F211" s="21"/>
      <c r="G211" s="21"/>
      <c r="I211" s="21"/>
      <c r="K211" s="21"/>
      <c r="M211" s="21"/>
      <c r="O211" s="21"/>
      <c r="Q211" s="21"/>
      <c r="S211" s="21"/>
      <c r="U211" s="21"/>
      <c r="W211" s="21"/>
      <c r="Y211" s="21"/>
      <c r="AA211" s="21"/>
      <c r="AC211" s="21"/>
      <c r="AE211" s="21"/>
      <c r="AG211" s="21"/>
      <c r="AI211" s="21"/>
      <c r="AK211" s="21"/>
      <c r="AM211" s="21"/>
      <c r="AN211" s="21"/>
    </row>
    <row r="212">
      <c r="A212" s="21"/>
      <c r="B212" s="21"/>
      <c r="D212" s="21"/>
      <c r="F212" s="21"/>
      <c r="G212" s="21"/>
      <c r="I212" s="21"/>
      <c r="K212" s="21"/>
      <c r="M212" s="21"/>
      <c r="O212" s="21"/>
      <c r="Q212" s="21"/>
      <c r="S212" s="21"/>
      <c r="U212" s="21"/>
      <c r="W212" s="21"/>
      <c r="Y212" s="21"/>
      <c r="AA212" s="21"/>
      <c r="AC212" s="21"/>
      <c r="AE212" s="21"/>
      <c r="AG212" s="21"/>
      <c r="AI212" s="21"/>
      <c r="AK212" s="21"/>
      <c r="AM212" s="21"/>
      <c r="AN212" s="21"/>
    </row>
    <row r="213">
      <c r="A213" s="21"/>
      <c r="B213" s="21"/>
      <c r="D213" s="21"/>
      <c r="F213" s="21"/>
      <c r="G213" s="21"/>
      <c r="I213" s="21"/>
      <c r="K213" s="21"/>
      <c r="M213" s="21"/>
      <c r="O213" s="21"/>
      <c r="Q213" s="21"/>
      <c r="S213" s="21"/>
      <c r="U213" s="21"/>
      <c r="W213" s="21"/>
      <c r="Y213" s="21"/>
      <c r="AA213" s="21"/>
      <c r="AC213" s="21"/>
      <c r="AE213" s="21"/>
      <c r="AG213" s="21"/>
      <c r="AI213" s="21"/>
      <c r="AK213" s="21"/>
      <c r="AM213" s="21"/>
      <c r="AN213" s="21"/>
    </row>
    <row r="214">
      <c r="A214" s="21"/>
      <c r="B214" s="21"/>
      <c r="D214" s="21"/>
      <c r="F214" s="21"/>
      <c r="G214" s="21"/>
      <c r="I214" s="21"/>
      <c r="K214" s="21"/>
      <c r="M214" s="21"/>
      <c r="O214" s="21"/>
      <c r="Q214" s="21"/>
      <c r="S214" s="21"/>
      <c r="U214" s="21"/>
      <c r="W214" s="21"/>
      <c r="Y214" s="21"/>
      <c r="AA214" s="21"/>
      <c r="AC214" s="21"/>
      <c r="AE214" s="21"/>
      <c r="AG214" s="21"/>
      <c r="AI214" s="21"/>
      <c r="AK214" s="21"/>
      <c r="AM214" s="21"/>
      <c r="AN214" s="21"/>
    </row>
    <row r="215">
      <c r="A215" s="21"/>
      <c r="B215" s="21"/>
      <c r="D215" s="21"/>
      <c r="F215" s="21"/>
      <c r="G215" s="21"/>
      <c r="I215" s="21"/>
      <c r="K215" s="21"/>
      <c r="M215" s="21"/>
      <c r="O215" s="21"/>
      <c r="Q215" s="21"/>
      <c r="S215" s="21"/>
      <c r="U215" s="21"/>
      <c r="W215" s="21"/>
      <c r="Y215" s="21"/>
      <c r="AA215" s="21"/>
      <c r="AC215" s="21"/>
      <c r="AE215" s="21"/>
      <c r="AG215" s="21"/>
      <c r="AI215" s="21"/>
      <c r="AK215" s="21"/>
      <c r="AM215" s="21"/>
      <c r="AN215" s="21"/>
    </row>
    <row r="216">
      <c r="A216" s="21"/>
      <c r="B216" s="21"/>
      <c r="D216" s="21"/>
      <c r="F216" s="21"/>
      <c r="G216" s="21"/>
      <c r="I216" s="21"/>
      <c r="K216" s="21"/>
      <c r="M216" s="21"/>
      <c r="O216" s="21"/>
      <c r="Q216" s="21"/>
      <c r="S216" s="21"/>
      <c r="U216" s="21"/>
      <c r="W216" s="21"/>
      <c r="Y216" s="21"/>
      <c r="AA216" s="21"/>
      <c r="AC216" s="21"/>
      <c r="AE216" s="21"/>
      <c r="AG216" s="21"/>
      <c r="AI216" s="21"/>
      <c r="AK216" s="21"/>
      <c r="AM216" s="21"/>
      <c r="AN216" s="21"/>
    </row>
    <row r="217">
      <c r="A217" s="21"/>
      <c r="B217" s="21"/>
      <c r="D217" s="21"/>
      <c r="F217" s="21"/>
      <c r="G217" s="21"/>
      <c r="I217" s="21"/>
      <c r="K217" s="21"/>
      <c r="M217" s="21"/>
      <c r="O217" s="21"/>
      <c r="Q217" s="21"/>
      <c r="S217" s="21"/>
      <c r="U217" s="21"/>
      <c r="W217" s="21"/>
      <c r="Y217" s="21"/>
      <c r="AA217" s="21"/>
      <c r="AC217" s="21"/>
      <c r="AE217" s="21"/>
      <c r="AG217" s="21"/>
      <c r="AI217" s="21"/>
      <c r="AK217" s="21"/>
      <c r="AM217" s="21"/>
      <c r="AN217" s="21"/>
    </row>
    <row r="218">
      <c r="A218" s="21"/>
      <c r="B218" s="21"/>
      <c r="D218" s="21"/>
      <c r="F218" s="21"/>
      <c r="G218" s="21"/>
      <c r="I218" s="21"/>
      <c r="K218" s="21"/>
      <c r="M218" s="21"/>
      <c r="O218" s="21"/>
      <c r="Q218" s="21"/>
      <c r="S218" s="21"/>
      <c r="U218" s="21"/>
      <c r="W218" s="21"/>
      <c r="Y218" s="21"/>
      <c r="AA218" s="21"/>
      <c r="AC218" s="21"/>
      <c r="AE218" s="21"/>
      <c r="AG218" s="21"/>
      <c r="AI218" s="21"/>
      <c r="AK218" s="21"/>
      <c r="AM218" s="21"/>
      <c r="AN218" s="21"/>
    </row>
    <row r="219">
      <c r="A219" s="21"/>
      <c r="B219" s="21"/>
      <c r="D219" s="21"/>
      <c r="F219" s="21"/>
      <c r="G219" s="21"/>
      <c r="I219" s="21"/>
      <c r="K219" s="21"/>
      <c r="M219" s="21"/>
      <c r="O219" s="21"/>
      <c r="Q219" s="21"/>
      <c r="S219" s="21"/>
      <c r="U219" s="21"/>
      <c r="W219" s="21"/>
      <c r="Y219" s="21"/>
      <c r="AA219" s="21"/>
      <c r="AC219" s="21"/>
      <c r="AE219" s="21"/>
      <c r="AG219" s="21"/>
      <c r="AI219" s="21"/>
      <c r="AK219" s="21"/>
      <c r="AM219" s="21"/>
      <c r="AN219" s="21"/>
    </row>
    <row r="220">
      <c r="A220" s="21"/>
      <c r="B220" s="21"/>
      <c r="D220" s="21"/>
      <c r="F220" s="21"/>
      <c r="G220" s="21"/>
      <c r="I220" s="21"/>
      <c r="K220" s="21"/>
      <c r="M220" s="21"/>
      <c r="O220" s="21"/>
      <c r="Q220" s="21"/>
      <c r="S220" s="21"/>
      <c r="U220" s="21"/>
      <c r="W220" s="21"/>
      <c r="Y220" s="21"/>
      <c r="AA220" s="21"/>
      <c r="AC220" s="21"/>
      <c r="AE220" s="21"/>
      <c r="AG220" s="21"/>
      <c r="AI220" s="21"/>
      <c r="AK220" s="21"/>
      <c r="AM220" s="21"/>
      <c r="AN220" s="21"/>
    </row>
    <row r="221">
      <c r="A221" s="21"/>
      <c r="B221" s="21"/>
      <c r="D221" s="21"/>
      <c r="F221" s="21"/>
      <c r="G221" s="21"/>
      <c r="I221" s="21"/>
      <c r="K221" s="21"/>
      <c r="M221" s="21"/>
      <c r="O221" s="21"/>
      <c r="Q221" s="21"/>
      <c r="S221" s="21"/>
      <c r="U221" s="21"/>
      <c r="W221" s="21"/>
      <c r="Y221" s="21"/>
      <c r="AA221" s="21"/>
      <c r="AC221" s="21"/>
      <c r="AE221" s="21"/>
      <c r="AG221" s="21"/>
      <c r="AI221" s="21"/>
      <c r="AK221" s="21"/>
      <c r="AM221" s="21"/>
      <c r="AN221" s="21"/>
    </row>
    <row r="222">
      <c r="A222" s="21"/>
      <c r="B222" s="21"/>
      <c r="D222" s="21"/>
      <c r="F222" s="21"/>
      <c r="G222" s="21"/>
      <c r="I222" s="21"/>
      <c r="K222" s="21"/>
      <c r="M222" s="21"/>
      <c r="O222" s="21"/>
      <c r="Q222" s="21"/>
      <c r="S222" s="21"/>
      <c r="U222" s="21"/>
      <c r="W222" s="21"/>
      <c r="Y222" s="21"/>
      <c r="AA222" s="21"/>
      <c r="AC222" s="21"/>
      <c r="AE222" s="21"/>
      <c r="AG222" s="21"/>
      <c r="AI222" s="21"/>
      <c r="AK222" s="21"/>
      <c r="AM222" s="21"/>
      <c r="AN222" s="21"/>
    </row>
    <row r="223">
      <c r="A223" s="21"/>
      <c r="B223" s="21"/>
      <c r="D223" s="21"/>
      <c r="F223" s="21"/>
      <c r="G223" s="21"/>
      <c r="I223" s="21"/>
      <c r="K223" s="21"/>
      <c r="M223" s="21"/>
      <c r="O223" s="21"/>
      <c r="Q223" s="21"/>
      <c r="S223" s="21"/>
      <c r="U223" s="21"/>
      <c r="W223" s="21"/>
      <c r="Y223" s="21"/>
      <c r="AA223" s="21"/>
      <c r="AC223" s="21"/>
      <c r="AE223" s="21"/>
      <c r="AG223" s="21"/>
      <c r="AI223" s="21"/>
      <c r="AK223" s="21"/>
      <c r="AM223" s="21"/>
      <c r="AN223" s="21"/>
    </row>
    <row r="224">
      <c r="A224" s="21"/>
      <c r="B224" s="21"/>
      <c r="D224" s="21"/>
      <c r="F224" s="21"/>
      <c r="G224" s="21"/>
      <c r="I224" s="21"/>
      <c r="K224" s="21"/>
      <c r="M224" s="21"/>
      <c r="O224" s="21"/>
      <c r="Q224" s="21"/>
      <c r="S224" s="21"/>
      <c r="U224" s="21"/>
      <c r="W224" s="21"/>
      <c r="Y224" s="21"/>
      <c r="AA224" s="21"/>
      <c r="AC224" s="21"/>
      <c r="AE224" s="21"/>
      <c r="AG224" s="21"/>
      <c r="AI224" s="21"/>
      <c r="AK224" s="21"/>
      <c r="AM224" s="21"/>
      <c r="AN224" s="21"/>
    </row>
    <row r="225">
      <c r="A225" s="21"/>
      <c r="B225" s="21"/>
      <c r="D225" s="21"/>
      <c r="F225" s="21"/>
      <c r="G225" s="21"/>
      <c r="I225" s="21"/>
      <c r="K225" s="21"/>
      <c r="M225" s="21"/>
      <c r="O225" s="21"/>
      <c r="Q225" s="21"/>
      <c r="S225" s="21"/>
      <c r="U225" s="21"/>
      <c r="W225" s="21"/>
      <c r="Y225" s="21"/>
      <c r="AA225" s="21"/>
      <c r="AC225" s="21"/>
      <c r="AE225" s="21"/>
      <c r="AG225" s="21"/>
      <c r="AI225" s="21"/>
      <c r="AK225" s="21"/>
      <c r="AM225" s="21"/>
      <c r="AN225" s="21"/>
    </row>
    <row r="226">
      <c r="A226" s="21"/>
      <c r="B226" s="21"/>
      <c r="D226" s="21"/>
      <c r="F226" s="21"/>
      <c r="G226" s="21"/>
      <c r="I226" s="21"/>
      <c r="K226" s="21"/>
      <c r="M226" s="21"/>
      <c r="O226" s="21"/>
      <c r="Q226" s="21"/>
      <c r="S226" s="21"/>
      <c r="U226" s="21"/>
      <c r="W226" s="21"/>
      <c r="Y226" s="21"/>
      <c r="AA226" s="21"/>
      <c r="AC226" s="21"/>
      <c r="AE226" s="21"/>
      <c r="AG226" s="21"/>
      <c r="AI226" s="21"/>
      <c r="AK226" s="21"/>
      <c r="AM226" s="21"/>
      <c r="AN226" s="21"/>
    </row>
    <row r="227">
      <c r="A227" s="21"/>
      <c r="B227" s="21"/>
      <c r="D227" s="21"/>
      <c r="F227" s="21"/>
      <c r="G227" s="21"/>
      <c r="I227" s="21"/>
      <c r="K227" s="21"/>
      <c r="M227" s="21"/>
      <c r="O227" s="21"/>
      <c r="Q227" s="21"/>
      <c r="S227" s="21"/>
      <c r="U227" s="21"/>
      <c r="W227" s="21"/>
      <c r="Y227" s="21"/>
      <c r="AA227" s="21"/>
      <c r="AC227" s="21"/>
      <c r="AE227" s="21"/>
      <c r="AG227" s="21"/>
      <c r="AI227" s="21"/>
      <c r="AK227" s="21"/>
      <c r="AM227" s="21"/>
      <c r="AN227" s="21"/>
    </row>
    <row r="228">
      <c r="A228" s="21"/>
      <c r="B228" s="21"/>
      <c r="D228" s="21"/>
      <c r="F228" s="21"/>
      <c r="G228" s="21"/>
      <c r="I228" s="21"/>
      <c r="K228" s="21"/>
      <c r="M228" s="21"/>
      <c r="O228" s="21"/>
      <c r="Q228" s="21"/>
      <c r="S228" s="21"/>
      <c r="U228" s="21"/>
      <c r="W228" s="21"/>
      <c r="Y228" s="21"/>
      <c r="AA228" s="21"/>
      <c r="AC228" s="21"/>
      <c r="AE228" s="21"/>
      <c r="AG228" s="21"/>
      <c r="AI228" s="21"/>
      <c r="AK228" s="21"/>
      <c r="AM228" s="21"/>
      <c r="AN228" s="21"/>
    </row>
    <row r="229">
      <c r="A229" s="21"/>
      <c r="B229" s="21"/>
      <c r="D229" s="21"/>
      <c r="F229" s="21"/>
      <c r="G229" s="21"/>
      <c r="I229" s="21"/>
      <c r="K229" s="21"/>
      <c r="M229" s="21"/>
      <c r="O229" s="21"/>
      <c r="Q229" s="21"/>
      <c r="S229" s="21"/>
      <c r="U229" s="21"/>
      <c r="W229" s="21"/>
      <c r="Y229" s="21"/>
      <c r="AA229" s="21"/>
      <c r="AC229" s="21"/>
      <c r="AE229" s="21"/>
      <c r="AG229" s="21"/>
      <c r="AI229" s="21"/>
      <c r="AK229" s="21"/>
      <c r="AM229" s="21"/>
      <c r="AN229" s="21"/>
    </row>
    <row r="230">
      <c r="A230" s="21"/>
      <c r="B230" s="21"/>
      <c r="D230" s="21"/>
      <c r="F230" s="21"/>
      <c r="G230" s="21"/>
      <c r="I230" s="21"/>
      <c r="K230" s="21"/>
      <c r="M230" s="21"/>
      <c r="O230" s="21"/>
      <c r="Q230" s="21"/>
      <c r="S230" s="21"/>
      <c r="U230" s="21"/>
      <c r="W230" s="21"/>
      <c r="Y230" s="21"/>
      <c r="AA230" s="21"/>
      <c r="AC230" s="21"/>
      <c r="AE230" s="21"/>
      <c r="AG230" s="21"/>
      <c r="AI230" s="21"/>
      <c r="AK230" s="21"/>
      <c r="AM230" s="21"/>
      <c r="AN230" s="21"/>
    </row>
    <row r="231">
      <c r="A231" s="21"/>
      <c r="B231" s="21"/>
      <c r="D231" s="21"/>
      <c r="F231" s="21"/>
      <c r="G231" s="21"/>
      <c r="I231" s="21"/>
      <c r="K231" s="21"/>
      <c r="M231" s="21"/>
      <c r="O231" s="21"/>
      <c r="Q231" s="21"/>
      <c r="S231" s="21"/>
      <c r="U231" s="21"/>
      <c r="W231" s="21"/>
      <c r="Y231" s="21"/>
      <c r="AA231" s="21"/>
      <c r="AC231" s="21"/>
      <c r="AE231" s="21"/>
      <c r="AG231" s="21"/>
      <c r="AI231" s="21"/>
      <c r="AK231" s="21"/>
      <c r="AM231" s="21"/>
      <c r="AN231" s="21"/>
    </row>
    <row r="232">
      <c r="A232" s="21"/>
      <c r="B232" s="21"/>
      <c r="D232" s="21"/>
      <c r="F232" s="21"/>
      <c r="G232" s="21"/>
      <c r="I232" s="21"/>
      <c r="K232" s="21"/>
      <c r="M232" s="21"/>
      <c r="O232" s="21"/>
      <c r="Q232" s="21"/>
      <c r="S232" s="21"/>
      <c r="U232" s="21"/>
      <c r="W232" s="21"/>
      <c r="Y232" s="21"/>
      <c r="AA232" s="21"/>
      <c r="AC232" s="21"/>
      <c r="AE232" s="21"/>
      <c r="AG232" s="21"/>
      <c r="AI232" s="21"/>
      <c r="AK232" s="21"/>
      <c r="AM232" s="21"/>
      <c r="AN232" s="21"/>
    </row>
    <row r="233">
      <c r="A233" s="21"/>
      <c r="B233" s="21"/>
      <c r="D233" s="21"/>
      <c r="F233" s="21"/>
      <c r="G233" s="21"/>
      <c r="I233" s="21"/>
      <c r="K233" s="21"/>
      <c r="M233" s="21"/>
      <c r="O233" s="21"/>
      <c r="Q233" s="21"/>
      <c r="S233" s="21"/>
      <c r="U233" s="21"/>
      <c r="W233" s="21"/>
      <c r="Y233" s="21"/>
      <c r="AA233" s="21"/>
      <c r="AC233" s="21"/>
      <c r="AE233" s="21"/>
      <c r="AG233" s="21"/>
      <c r="AI233" s="21"/>
      <c r="AK233" s="21"/>
      <c r="AM233" s="21"/>
      <c r="AN233" s="21"/>
    </row>
    <row r="234">
      <c r="A234" s="21"/>
      <c r="B234" s="21"/>
      <c r="D234" s="21"/>
      <c r="F234" s="21"/>
      <c r="G234" s="21"/>
      <c r="I234" s="21"/>
      <c r="K234" s="21"/>
      <c r="M234" s="21"/>
      <c r="O234" s="21"/>
      <c r="Q234" s="21"/>
      <c r="S234" s="21"/>
      <c r="U234" s="21"/>
      <c r="W234" s="21"/>
      <c r="Y234" s="21"/>
      <c r="AA234" s="21"/>
      <c r="AC234" s="21"/>
      <c r="AE234" s="21"/>
      <c r="AG234" s="21"/>
      <c r="AI234" s="21"/>
      <c r="AK234" s="21"/>
      <c r="AM234" s="21"/>
      <c r="AN234" s="21"/>
    </row>
    <row r="235">
      <c r="A235" s="21"/>
      <c r="B235" s="21"/>
      <c r="D235" s="21"/>
      <c r="F235" s="21"/>
      <c r="G235" s="21"/>
      <c r="I235" s="21"/>
      <c r="K235" s="21"/>
      <c r="M235" s="21"/>
      <c r="O235" s="21"/>
      <c r="Q235" s="21"/>
      <c r="S235" s="21"/>
      <c r="U235" s="21"/>
      <c r="W235" s="21"/>
      <c r="Y235" s="21"/>
      <c r="AA235" s="21"/>
      <c r="AC235" s="21"/>
      <c r="AE235" s="21"/>
      <c r="AG235" s="21"/>
      <c r="AI235" s="21"/>
      <c r="AK235" s="21"/>
      <c r="AM235" s="21"/>
      <c r="AN235" s="21"/>
    </row>
    <row r="236">
      <c r="A236" s="21"/>
      <c r="B236" s="21"/>
      <c r="D236" s="21"/>
      <c r="F236" s="21"/>
      <c r="G236" s="21"/>
      <c r="I236" s="21"/>
      <c r="K236" s="21"/>
      <c r="M236" s="21"/>
      <c r="O236" s="21"/>
      <c r="Q236" s="21"/>
      <c r="S236" s="21"/>
      <c r="U236" s="21"/>
      <c r="W236" s="21"/>
      <c r="Y236" s="21"/>
      <c r="AA236" s="21"/>
      <c r="AC236" s="21"/>
      <c r="AE236" s="21"/>
      <c r="AG236" s="21"/>
      <c r="AI236" s="21"/>
      <c r="AK236" s="21"/>
      <c r="AM236" s="21"/>
      <c r="AN236" s="21"/>
    </row>
    <row r="237">
      <c r="A237" s="21"/>
      <c r="B237" s="21"/>
      <c r="D237" s="21"/>
      <c r="F237" s="21"/>
      <c r="G237" s="21"/>
      <c r="I237" s="21"/>
      <c r="K237" s="21"/>
      <c r="M237" s="21"/>
      <c r="O237" s="21"/>
      <c r="Q237" s="21"/>
      <c r="S237" s="21"/>
      <c r="U237" s="21"/>
      <c r="W237" s="21"/>
      <c r="Y237" s="21"/>
      <c r="AA237" s="21"/>
      <c r="AC237" s="21"/>
      <c r="AE237" s="21"/>
      <c r="AG237" s="21"/>
      <c r="AI237" s="21"/>
      <c r="AK237" s="21"/>
      <c r="AM237" s="21"/>
      <c r="AN237" s="21"/>
    </row>
    <row r="238">
      <c r="A238" s="21"/>
      <c r="B238" s="21"/>
      <c r="D238" s="21"/>
      <c r="F238" s="21"/>
      <c r="G238" s="21"/>
      <c r="I238" s="21"/>
      <c r="K238" s="21"/>
      <c r="M238" s="21"/>
      <c r="O238" s="21"/>
      <c r="Q238" s="21"/>
      <c r="S238" s="21"/>
      <c r="U238" s="21"/>
      <c r="W238" s="21"/>
      <c r="Y238" s="21"/>
      <c r="AA238" s="21"/>
      <c r="AC238" s="21"/>
      <c r="AE238" s="21"/>
      <c r="AG238" s="21"/>
      <c r="AI238" s="21"/>
      <c r="AK238" s="21"/>
      <c r="AM238" s="21"/>
      <c r="AN238" s="21"/>
    </row>
    <row r="239">
      <c r="A239" s="21"/>
      <c r="B239" s="21"/>
      <c r="D239" s="21"/>
      <c r="F239" s="21"/>
      <c r="G239" s="21"/>
      <c r="I239" s="21"/>
      <c r="K239" s="21"/>
      <c r="M239" s="21"/>
      <c r="O239" s="21"/>
      <c r="Q239" s="21"/>
      <c r="S239" s="21"/>
      <c r="U239" s="21"/>
      <c r="W239" s="21"/>
      <c r="Y239" s="21"/>
      <c r="AA239" s="21"/>
      <c r="AC239" s="21"/>
      <c r="AE239" s="21"/>
      <c r="AG239" s="21"/>
      <c r="AI239" s="21"/>
      <c r="AK239" s="21"/>
      <c r="AM239" s="21"/>
      <c r="AN239" s="21"/>
    </row>
    <row r="240">
      <c r="A240" s="21"/>
      <c r="B240" s="21"/>
      <c r="D240" s="21"/>
      <c r="F240" s="21"/>
      <c r="G240" s="21"/>
      <c r="I240" s="21"/>
      <c r="K240" s="21"/>
      <c r="M240" s="21"/>
      <c r="O240" s="21"/>
      <c r="Q240" s="21"/>
      <c r="S240" s="21"/>
      <c r="U240" s="21"/>
      <c r="W240" s="21"/>
      <c r="Y240" s="21"/>
      <c r="AA240" s="21"/>
      <c r="AC240" s="21"/>
      <c r="AE240" s="21"/>
      <c r="AG240" s="21"/>
      <c r="AI240" s="21"/>
      <c r="AK240" s="21"/>
      <c r="AM240" s="21"/>
      <c r="AN240" s="21"/>
    </row>
    <row r="241">
      <c r="A241" s="21"/>
      <c r="B241" s="21"/>
      <c r="D241" s="21"/>
      <c r="F241" s="21"/>
      <c r="G241" s="21"/>
      <c r="I241" s="21"/>
      <c r="K241" s="21"/>
      <c r="M241" s="21"/>
      <c r="O241" s="21"/>
      <c r="Q241" s="21"/>
      <c r="S241" s="21"/>
      <c r="U241" s="21"/>
      <c r="W241" s="21"/>
      <c r="Y241" s="21"/>
      <c r="AA241" s="21"/>
      <c r="AC241" s="21"/>
      <c r="AE241" s="21"/>
      <c r="AG241" s="21"/>
      <c r="AI241" s="21"/>
      <c r="AK241" s="21"/>
      <c r="AM241" s="21"/>
      <c r="AN241" s="21"/>
    </row>
    <row r="242">
      <c r="A242" s="21"/>
      <c r="B242" s="21"/>
      <c r="D242" s="21"/>
      <c r="F242" s="21"/>
      <c r="G242" s="21"/>
      <c r="I242" s="21"/>
      <c r="K242" s="21"/>
      <c r="M242" s="21"/>
      <c r="O242" s="21"/>
      <c r="Q242" s="21"/>
      <c r="S242" s="21"/>
      <c r="U242" s="21"/>
      <c r="W242" s="21"/>
      <c r="Y242" s="21"/>
      <c r="AA242" s="21"/>
      <c r="AC242" s="21"/>
      <c r="AE242" s="21"/>
      <c r="AG242" s="21"/>
      <c r="AI242" s="21"/>
      <c r="AK242" s="21"/>
      <c r="AM242" s="21"/>
      <c r="AN242" s="21"/>
    </row>
    <row r="243">
      <c r="A243" s="21"/>
      <c r="B243" s="21"/>
      <c r="D243" s="21"/>
      <c r="F243" s="21"/>
      <c r="G243" s="21"/>
      <c r="I243" s="21"/>
      <c r="K243" s="21"/>
      <c r="M243" s="21"/>
      <c r="O243" s="21"/>
      <c r="Q243" s="21"/>
      <c r="S243" s="21"/>
      <c r="U243" s="21"/>
      <c r="W243" s="21"/>
      <c r="Y243" s="21"/>
      <c r="AA243" s="21"/>
      <c r="AC243" s="21"/>
      <c r="AE243" s="21"/>
      <c r="AG243" s="21"/>
      <c r="AI243" s="21"/>
      <c r="AK243" s="21"/>
      <c r="AM243" s="21"/>
      <c r="AN243" s="21"/>
    </row>
    <row r="244">
      <c r="A244" s="21"/>
      <c r="B244" s="21"/>
      <c r="D244" s="21"/>
      <c r="F244" s="21"/>
      <c r="G244" s="21"/>
      <c r="I244" s="21"/>
      <c r="K244" s="21"/>
      <c r="M244" s="21"/>
      <c r="O244" s="21"/>
      <c r="Q244" s="21"/>
      <c r="S244" s="21"/>
      <c r="U244" s="21"/>
      <c r="W244" s="21"/>
      <c r="Y244" s="21"/>
      <c r="AA244" s="21"/>
      <c r="AC244" s="21"/>
      <c r="AE244" s="21"/>
      <c r="AG244" s="21"/>
      <c r="AI244" s="21"/>
      <c r="AK244" s="21"/>
      <c r="AM244" s="21"/>
      <c r="AN244" s="21"/>
    </row>
    <row r="245">
      <c r="A245" s="21"/>
      <c r="B245" s="21"/>
      <c r="D245" s="21"/>
      <c r="F245" s="21"/>
      <c r="G245" s="21"/>
      <c r="I245" s="21"/>
      <c r="K245" s="21"/>
      <c r="M245" s="21"/>
      <c r="O245" s="21"/>
      <c r="Q245" s="21"/>
      <c r="S245" s="21"/>
      <c r="U245" s="21"/>
      <c r="W245" s="21"/>
      <c r="Y245" s="21"/>
      <c r="AA245" s="21"/>
      <c r="AC245" s="21"/>
      <c r="AE245" s="21"/>
      <c r="AG245" s="21"/>
      <c r="AI245" s="21"/>
      <c r="AK245" s="21"/>
      <c r="AM245" s="21"/>
      <c r="AN245" s="21"/>
    </row>
    <row r="246">
      <c r="A246" s="21"/>
      <c r="B246" s="21"/>
      <c r="D246" s="21"/>
      <c r="F246" s="21"/>
      <c r="G246" s="21"/>
      <c r="I246" s="21"/>
      <c r="K246" s="21"/>
      <c r="M246" s="21"/>
      <c r="O246" s="21"/>
      <c r="Q246" s="21"/>
      <c r="S246" s="21"/>
      <c r="U246" s="21"/>
      <c r="W246" s="21"/>
      <c r="Y246" s="21"/>
      <c r="AA246" s="21"/>
      <c r="AC246" s="21"/>
      <c r="AE246" s="21"/>
      <c r="AG246" s="21"/>
      <c r="AI246" s="21"/>
      <c r="AK246" s="21"/>
      <c r="AM246" s="21"/>
      <c r="AN246" s="21"/>
    </row>
    <row r="247">
      <c r="A247" s="21"/>
      <c r="B247" s="21"/>
      <c r="D247" s="21"/>
      <c r="F247" s="21"/>
      <c r="G247" s="21"/>
      <c r="I247" s="21"/>
      <c r="K247" s="21"/>
      <c r="M247" s="21"/>
      <c r="O247" s="21"/>
      <c r="Q247" s="21"/>
      <c r="S247" s="21"/>
      <c r="U247" s="21"/>
      <c r="W247" s="21"/>
      <c r="Y247" s="21"/>
      <c r="AA247" s="21"/>
      <c r="AC247" s="21"/>
      <c r="AE247" s="21"/>
      <c r="AG247" s="21"/>
      <c r="AI247" s="21"/>
      <c r="AK247" s="21"/>
      <c r="AM247" s="21"/>
      <c r="AN247" s="21"/>
    </row>
    <row r="248">
      <c r="A248" s="21"/>
      <c r="B248" s="21"/>
      <c r="D248" s="21"/>
      <c r="F248" s="21"/>
      <c r="G248" s="21"/>
      <c r="I248" s="21"/>
      <c r="K248" s="21"/>
      <c r="M248" s="21"/>
      <c r="O248" s="21"/>
      <c r="Q248" s="21"/>
      <c r="S248" s="21"/>
      <c r="U248" s="21"/>
      <c r="W248" s="21"/>
      <c r="Y248" s="21"/>
      <c r="AA248" s="21"/>
      <c r="AC248" s="21"/>
      <c r="AE248" s="21"/>
      <c r="AG248" s="21"/>
      <c r="AI248" s="21"/>
      <c r="AK248" s="21"/>
      <c r="AM248" s="21"/>
      <c r="AN248" s="21"/>
    </row>
    <row r="249">
      <c r="A249" s="21"/>
      <c r="B249" s="21"/>
      <c r="D249" s="21"/>
      <c r="F249" s="21"/>
      <c r="G249" s="21"/>
      <c r="I249" s="21"/>
      <c r="K249" s="21"/>
      <c r="M249" s="21"/>
      <c r="O249" s="21"/>
      <c r="Q249" s="21"/>
      <c r="S249" s="21"/>
      <c r="U249" s="21"/>
      <c r="W249" s="21"/>
      <c r="Y249" s="21"/>
      <c r="AA249" s="21"/>
      <c r="AC249" s="21"/>
      <c r="AE249" s="21"/>
      <c r="AG249" s="21"/>
      <c r="AI249" s="21"/>
      <c r="AK249" s="21"/>
      <c r="AM249" s="21"/>
      <c r="AN249" s="21"/>
    </row>
    <row r="250">
      <c r="A250" s="21"/>
      <c r="B250" s="21"/>
      <c r="D250" s="21"/>
      <c r="F250" s="21"/>
      <c r="G250" s="21"/>
      <c r="I250" s="21"/>
      <c r="K250" s="21"/>
      <c r="M250" s="21"/>
      <c r="O250" s="21"/>
      <c r="Q250" s="21"/>
      <c r="S250" s="21"/>
      <c r="U250" s="21"/>
      <c r="W250" s="21"/>
      <c r="Y250" s="21"/>
      <c r="AA250" s="21"/>
      <c r="AC250" s="21"/>
      <c r="AE250" s="21"/>
      <c r="AG250" s="21"/>
      <c r="AI250" s="21"/>
      <c r="AK250" s="21"/>
      <c r="AM250" s="21"/>
      <c r="AN250" s="21"/>
    </row>
    <row r="251">
      <c r="A251" s="21"/>
      <c r="B251" s="21"/>
      <c r="D251" s="21"/>
      <c r="F251" s="21"/>
      <c r="G251" s="21"/>
      <c r="I251" s="21"/>
      <c r="K251" s="21"/>
      <c r="M251" s="21"/>
      <c r="O251" s="21"/>
      <c r="Q251" s="21"/>
      <c r="S251" s="21"/>
      <c r="U251" s="21"/>
      <c r="W251" s="21"/>
      <c r="Y251" s="21"/>
      <c r="AA251" s="21"/>
      <c r="AC251" s="21"/>
      <c r="AE251" s="21"/>
      <c r="AG251" s="21"/>
      <c r="AI251" s="21"/>
      <c r="AK251" s="21"/>
      <c r="AM251" s="21"/>
      <c r="AN251" s="21"/>
    </row>
    <row r="252">
      <c r="A252" s="21"/>
      <c r="B252" s="21"/>
      <c r="D252" s="21"/>
      <c r="F252" s="21"/>
      <c r="G252" s="21"/>
      <c r="I252" s="21"/>
      <c r="K252" s="21"/>
      <c r="M252" s="21"/>
      <c r="O252" s="21"/>
      <c r="Q252" s="21"/>
      <c r="S252" s="21"/>
      <c r="U252" s="21"/>
      <c r="W252" s="21"/>
      <c r="Y252" s="21"/>
      <c r="AA252" s="21"/>
      <c r="AC252" s="21"/>
      <c r="AE252" s="21"/>
      <c r="AG252" s="21"/>
      <c r="AI252" s="21"/>
      <c r="AK252" s="21"/>
      <c r="AM252" s="21"/>
      <c r="AN252" s="21"/>
    </row>
    <row r="253">
      <c r="A253" s="21"/>
      <c r="B253" s="21"/>
      <c r="D253" s="21"/>
      <c r="F253" s="21"/>
      <c r="G253" s="21"/>
      <c r="I253" s="21"/>
      <c r="K253" s="21"/>
      <c r="M253" s="21"/>
      <c r="O253" s="21"/>
      <c r="Q253" s="21"/>
      <c r="S253" s="21"/>
      <c r="U253" s="21"/>
      <c r="W253" s="21"/>
      <c r="Y253" s="21"/>
      <c r="AA253" s="21"/>
      <c r="AC253" s="21"/>
      <c r="AE253" s="21"/>
      <c r="AG253" s="21"/>
      <c r="AI253" s="21"/>
      <c r="AK253" s="21"/>
      <c r="AM253" s="21"/>
      <c r="AN253" s="21"/>
    </row>
    <row r="254">
      <c r="A254" s="21"/>
      <c r="B254" s="21"/>
      <c r="D254" s="21"/>
      <c r="F254" s="21"/>
      <c r="G254" s="21"/>
      <c r="I254" s="21"/>
      <c r="K254" s="21"/>
      <c r="M254" s="21"/>
      <c r="O254" s="21"/>
      <c r="Q254" s="21"/>
      <c r="S254" s="21"/>
      <c r="U254" s="21"/>
      <c r="W254" s="21"/>
      <c r="Y254" s="21"/>
      <c r="AA254" s="21"/>
      <c r="AC254" s="21"/>
      <c r="AE254" s="21"/>
      <c r="AG254" s="21"/>
      <c r="AI254" s="21"/>
      <c r="AK254" s="21"/>
      <c r="AM254" s="21"/>
      <c r="AN254" s="21"/>
    </row>
    <row r="255">
      <c r="A255" s="21"/>
      <c r="B255" s="21"/>
      <c r="D255" s="21"/>
      <c r="F255" s="21"/>
      <c r="G255" s="21"/>
      <c r="I255" s="21"/>
      <c r="K255" s="21"/>
      <c r="M255" s="21"/>
      <c r="O255" s="21"/>
      <c r="Q255" s="21"/>
      <c r="S255" s="21"/>
      <c r="U255" s="21"/>
      <c r="W255" s="21"/>
      <c r="Y255" s="21"/>
      <c r="AA255" s="21"/>
      <c r="AC255" s="21"/>
      <c r="AE255" s="21"/>
      <c r="AG255" s="21"/>
      <c r="AI255" s="21"/>
      <c r="AK255" s="21"/>
      <c r="AM255" s="21"/>
      <c r="AN255" s="21"/>
    </row>
    <row r="256">
      <c r="A256" s="21"/>
      <c r="B256" s="21"/>
      <c r="D256" s="21"/>
      <c r="F256" s="21"/>
      <c r="G256" s="21"/>
      <c r="I256" s="21"/>
      <c r="K256" s="21"/>
      <c r="M256" s="21"/>
      <c r="O256" s="21"/>
      <c r="Q256" s="21"/>
      <c r="S256" s="21"/>
      <c r="U256" s="21"/>
      <c r="W256" s="21"/>
      <c r="Y256" s="21"/>
      <c r="AA256" s="21"/>
      <c r="AC256" s="21"/>
      <c r="AE256" s="21"/>
      <c r="AG256" s="21"/>
      <c r="AI256" s="21"/>
      <c r="AK256" s="21"/>
      <c r="AM256" s="21"/>
      <c r="AN256" s="21"/>
    </row>
    <row r="257">
      <c r="A257" s="21"/>
      <c r="B257" s="21"/>
      <c r="D257" s="21"/>
      <c r="F257" s="21"/>
      <c r="G257" s="21"/>
      <c r="I257" s="21"/>
      <c r="K257" s="21"/>
      <c r="M257" s="21"/>
      <c r="O257" s="21"/>
      <c r="Q257" s="21"/>
      <c r="S257" s="21"/>
      <c r="U257" s="21"/>
      <c r="W257" s="21"/>
      <c r="Y257" s="21"/>
      <c r="AA257" s="21"/>
      <c r="AC257" s="21"/>
      <c r="AE257" s="21"/>
      <c r="AG257" s="21"/>
      <c r="AI257" s="21"/>
      <c r="AK257" s="21"/>
      <c r="AM257" s="21"/>
      <c r="AN257" s="21"/>
    </row>
    <row r="258">
      <c r="A258" s="21"/>
      <c r="B258" s="21"/>
      <c r="D258" s="21"/>
      <c r="F258" s="21"/>
      <c r="G258" s="21"/>
      <c r="I258" s="21"/>
      <c r="K258" s="21"/>
      <c r="M258" s="21"/>
      <c r="O258" s="21"/>
      <c r="Q258" s="21"/>
      <c r="S258" s="21"/>
      <c r="U258" s="21"/>
      <c r="W258" s="21"/>
      <c r="Y258" s="21"/>
      <c r="AA258" s="21"/>
      <c r="AC258" s="21"/>
      <c r="AE258" s="21"/>
      <c r="AG258" s="21"/>
      <c r="AI258" s="21"/>
      <c r="AK258" s="21"/>
      <c r="AM258" s="21"/>
      <c r="AN258" s="21"/>
    </row>
    <row r="259">
      <c r="A259" s="21"/>
      <c r="B259" s="21"/>
      <c r="D259" s="21"/>
      <c r="F259" s="21"/>
      <c r="G259" s="21"/>
      <c r="I259" s="21"/>
      <c r="K259" s="21"/>
      <c r="M259" s="21"/>
      <c r="O259" s="21"/>
      <c r="Q259" s="21"/>
      <c r="S259" s="21"/>
      <c r="U259" s="21"/>
      <c r="W259" s="21"/>
      <c r="Y259" s="21"/>
      <c r="AA259" s="21"/>
      <c r="AC259" s="21"/>
      <c r="AE259" s="21"/>
      <c r="AG259" s="21"/>
      <c r="AI259" s="21"/>
      <c r="AK259" s="21"/>
      <c r="AM259" s="21"/>
      <c r="AN259" s="21"/>
    </row>
    <row r="260">
      <c r="A260" s="21"/>
      <c r="B260" s="21"/>
      <c r="D260" s="21"/>
      <c r="F260" s="21"/>
      <c r="G260" s="21"/>
      <c r="I260" s="21"/>
      <c r="K260" s="21"/>
      <c r="M260" s="21"/>
      <c r="O260" s="21"/>
      <c r="Q260" s="21"/>
      <c r="S260" s="21"/>
      <c r="U260" s="21"/>
      <c r="W260" s="21"/>
      <c r="Y260" s="21"/>
      <c r="AA260" s="21"/>
      <c r="AC260" s="21"/>
      <c r="AE260" s="21"/>
      <c r="AG260" s="21"/>
      <c r="AI260" s="21"/>
      <c r="AK260" s="21"/>
      <c r="AM260" s="21"/>
      <c r="AN260" s="21"/>
    </row>
    <row r="261">
      <c r="A261" s="21"/>
      <c r="B261" s="21"/>
      <c r="D261" s="21"/>
      <c r="F261" s="21"/>
      <c r="G261" s="21"/>
      <c r="I261" s="21"/>
      <c r="K261" s="21"/>
      <c r="M261" s="21"/>
      <c r="O261" s="21"/>
      <c r="Q261" s="21"/>
      <c r="S261" s="21"/>
      <c r="U261" s="21"/>
      <c r="W261" s="21"/>
      <c r="Y261" s="21"/>
      <c r="AA261" s="21"/>
      <c r="AC261" s="21"/>
      <c r="AE261" s="21"/>
      <c r="AG261" s="21"/>
      <c r="AI261" s="21"/>
      <c r="AK261" s="21"/>
      <c r="AM261" s="21"/>
      <c r="AN261" s="21"/>
    </row>
    <row r="262">
      <c r="A262" s="21"/>
      <c r="B262" s="21"/>
      <c r="D262" s="21"/>
      <c r="F262" s="21"/>
      <c r="G262" s="21"/>
      <c r="I262" s="21"/>
      <c r="K262" s="21"/>
      <c r="M262" s="21"/>
      <c r="O262" s="21"/>
      <c r="Q262" s="21"/>
      <c r="S262" s="21"/>
      <c r="U262" s="21"/>
      <c r="W262" s="21"/>
      <c r="Y262" s="21"/>
      <c r="AA262" s="21"/>
      <c r="AC262" s="21"/>
      <c r="AE262" s="21"/>
      <c r="AG262" s="21"/>
      <c r="AI262" s="21"/>
      <c r="AK262" s="21"/>
      <c r="AM262" s="21"/>
      <c r="AN262" s="21"/>
    </row>
    <row r="263">
      <c r="A263" s="21"/>
      <c r="B263" s="21"/>
      <c r="D263" s="21"/>
      <c r="F263" s="21"/>
      <c r="G263" s="21"/>
      <c r="I263" s="21"/>
      <c r="K263" s="21"/>
      <c r="M263" s="21"/>
      <c r="O263" s="21"/>
      <c r="Q263" s="21"/>
      <c r="S263" s="21"/>
      <c r="U263" s="21"/>
      <c r="W263" s="21"/>
      <c r="Y263" s="21"/>
      <c r="AA263" s="21"/>
      <c r="AC263" s="21"/>
      <c r="AE263" s="21"/>
      <c r="AG263" s="21"/>
      <c r="AI263" s="21"/>
      <c r="AK263" s="21"/>
      <c r="AM263" s="21"/>
      <c r="AN263" s="21"/>
    </row>
    <row r="264">
      <c r="A264" s="21"/>
      <c r="B264" s="21"/>
      <c r="D264" s="21"/>
      <c r="F264" s="21"/>
      <c r="G264" s="21"/>
      <c r="I264" s="21"/>
      <c r="K264" s="21"/>
      <c r="M264" s="21"/>
      <c r="O264" s="21"/>
      <c r="Q264" s="21"/>
      <c r="S264" s="21"/>
      <c r="U264" s="21"/>
      <c r="W264" s="21"/>
      <c r="Y264" s="21"/>
      <c r="AA264" s="21"/>
      <c r="AC264" s="21"/>
      <c r="AE264" s="21"/>
      <c r="AG264" s="21"/>
      <c r="AI264" s="21"/>
      <c r="AK264" s="21"/>
      <c r="AM264" s="21"/>
      <c r="AN264" s="21"/>
    </row>
    <row r="265">
      <c r="A265" s="21"/>
      <c r="B265" s="21"/>
      <c r="D265" s="21"/>
      <c r="F265" s="21"/>
      <c r="G265" s="21"/>
      <c r="I265" s="21"/>
      <c r="K265" s="21"/>
      <c r="M265" s="21"/>
      <c r="O265" s="21"/>
      <c r="Q265" s="21"/>
      <c r="S265" s="21"/>
      <c r="U265" s="21"/>
      <c r="W265" s="21"/>
      <c r="Y265" s="21"/>
      <c r="AA265" s="21"/>
      <c r="AC265" s="21"/>
      <c r="AE265" s="21"/>
      <c r="AG265" s="21"/>
      <c r="AI265" s="21"/>
      <c r="AK265" s="21"/>
      <c r="AM265" s="21"/>
      <c r="AN265" s="21"/>
    </row>
    <row r="266">
      <c r="A266" s="21"/>
      <c r="B266" s="21"/>
      <c r="D266" s="21"/>
      <c r="F266" s="21"/>
      <c r="G266" s="21"/>
      <c r="I266" s="21"/>
      <c r="K266" s="21"/>
      <c r="M266" s="21"/>
      <c r="O266" s="21"/>
      <c r="Q266" s="21"/>
      <c r="S266" s="21"/>
      <c r="U266" s="21"/>
      <c r="W266" s="21"/>
      <c r="Y266" s="21"/>
      <c r="AA266" s="21"/>
      <c r="AC266" s="21"/>
      <c r="AE266" s="21"/>
      <c r="AG266" s="21"/>
      <c r="AI266" s="21"/>
      <c r="AK266" s="21"/>
      <c r="AM266" s="21"/>
      <c r="AN266" s="21"/>
    </row>
    <row r="267">
      <c r="A267" s="21"/>
      <c r="B267" s="21"/>
      <c r="D267" s="21"/>
      <c r="F267" s="21"/>
      <c r="G267" s="21"/>
      <c r="I267" s="21"/>
      <c r="K267" s="21"/>
      <c r="M267" s="21"/>
      <c r="O267" s="21"/>
      <c r="Q267" s="21"/>
      <c r="S267" s="21"/>
      <c r="U267" s="21"/>
      <c r="W267" s="21"/>
      <c r="Y267" s="21"/>
      <c r="AA267" s="21"/>
      <c r="AC267" s="21"/>
      <c r="AE267" s="21"/>
      <c r="AG267" s="21"/>
      <c r="AI267" s="21"/>
      <c r="AK267" s="21"/>
      <c r="AM267" s="21"/>
      <c r="AN267" s="21"/>
    </row>
    <row r="268">
      <c r="A268" s="21"/>
      <c r="B268" s="21"/>
      <c r="D268" s="21"/>
      <c r="F268" s="21"/>
      <c r="G268" s="21"/>
      <c r="I268" s="21"/>
      <c r="K268" s="21"/>
      <c r="M268" s="21"/>
      <c r="O268" s="21"/>
      <c r="Q268" s="21"/>
      <c r="S268" s="21"/>
      <c r="U268" s="21"/>
      <c r="W268" s="21"/>
      <c r="Y268" s="21"/>
      <c r="AA268" s="21"/>
      <c r="AC268" s="21"/>
      <c r="AE268" s="21"/>
      <c r="AG268" s="21"/>
      <c r="AI268" s="21"/>
      <c r="AK268" s="21"/>
      <c r="AM268" s="21"/>
      <c r="AN268" s="21"/>
    </row>
    <row r="269">
      <c r="A269" s="21"/>
      <c r="B269" s="21"/>
      <c r="D269" s="21"/>
      <c r="F269" s="21"/>
      <c r="G269" s="21"/>
      <c r="I269" s="21"/>
      <c r="K269" s="21"/>
      <c r="M269" s="21"/>
      <c r="O269" s="21"/>
      <c r="Q269" s="21"/>
      <c r="S269" s="21"/>
      <c r="U269" s="21"/>
      <c r="W269" s="21"/>
      <c r="Y269" s="21"/>
      <c r="AA269" s="21"/>
      <c r="AC269" s="21"/>
      <c r="AE269" s="21"/>
      <c r="AG269" s="21"/>
      <c r="AI269" s="21"/>
      <c r="AK269" s="21"/>
      <c r="AM269" s="21"/>
      <c r="AN269" s="21"/>
    </row>
    <row r="270">
      <c r="A270" s="21"/>
      <c r="B270" s="21"/>
      <c r="D270" s="21"/>
      <c r="F270" s="21"/>
      <c r="G270" s="21"/>
      <c r="I270" s="21"/>
      <c r="K270" s="21"/>
      <c r="M270" s="21"/>
      <c r="O270" s="21"/>
      <c r="Q270" s="21"/>
      <c r="S270" s="21"/>
      <c r="U270" s="21"/>
      <c r="W270" s="21"/>
      <c r="Y270" s="21"/>
      <c r="AA270" s="21"/>
      <c r="AC270" s="21"/>
      <c r="AE270" s="21"/>
      <c r="AG270" s="21"/>
      <c r="AI270" s="21"/>
      <c r="AK270" s="21"/>
      <c r="AM270" s="21"/>
      <c r="AN270" s="21"/>
    </row>
    <row r="271">
      <c r="A271" s="21"/>
      <c r="B271" s="21"/>
      <c r="D271" s="21"/>
      <c r="F271" s="21"/>
      <c r="G271" s="21"/>
      <c r="I271" s="21"/>
      <c r="K271" s="21"/>
      <c r="M271" s="21"/>
      <c r="O271" s="21"/>
      <c r="Q271" s="21"/>
      <c r="S271" s="21"/>
      <c r="U271" s="21"/>
      <c r="W271" s="21"/>
      <c r="Y271" s="21"/>
      <c r="AA271" s="21"/>
      <c r="AC271" s="21"/>
      <c r="AE271" s="21"/>
      <c r="AG271" s="21"/>
      <c r="AI271" s="21"/>
      <c r="AK271" s="21"/>
      <c r="AM271" s="21"/>
      <c r="AN271" s="21"/>
    </row>
    <row r="272">
      <c r="A272" s="21"/>
      <c r="B272" s="21"/>
      <c r="D272" s="21"/>
      <c r="F272" s="21"/>
      <c r="G272" s="21"/>
      <c r="I272" s="21"/>
      <c r="K272" s="21"/>
      <c r="M272" s="21"/>
      <c r="O272" s="21"/>
      <c r="Q272" s="21"/>
      <c r="S272" s="21"/>
      <c r="U272" s="21"/>
      <c r="W272" s="21"/>
      <c r="Y272" s="21"/>
      <c r="AA272" s="21"/>
      <c r="AC272" s="21"/>
      <c r="AE272" s="21"/>
      <c r="AG272" s="21"/>
      <c r="AI272" s="21"/>
      <c r="AK272" s="21"/>
      <c r="AM272" s="21"/>
      <c r="AN272" s="21"/>
    </row>
    <row r="273">
      <c r="A273" s="21"/>
      <c r="B273" s="21"/>
      <c r="D273" s="21"/>
      <c r="F273" s="21"/>
      <c r="G273" s="21"/>
      <c r="I273" s="21"/>
      <c r="K273" s="21"/>
      <c r="M273" s="21"/>
      <c r="O273" s="21"/>
      <c r="Q273" s="21"/>
      <c r="S273" s="21"/>
      <c r="U273" s="21"/>
      <c r="W273" s="21"/>
      <c r="Y273" s="21"/>
      <c r="AA273" s="21"/>
      <c r="AC273" s="21"/>
      <c r="AE273" s="21"/>
      <c r="AG273" s="21"/>
      <c r="AI273" s="21"/>
      <c r="AK273" s="21"/>
      <c r="AM273" s="21"/>
      <c r="AN273" s="21"/>
    </row>
    <row r="274">
      <c r="A274" s="21"/>
      <c r="B274" s="21"/>
      <c r="D274" s="21"/>
      <c r="F274" s="21"/>
      <c r="G274" s="21"/>
      <c r="I274" s="21"/>
      <c r="K274" s="21"/>
      <c r="M274" s="21"/>
      <c r="O274" s="21"/>
      <c r="Q274" s="21"/>
      <c r="S274" s="21"/>
      <c r="U274" s="21"/>
      <c r="W274" s="21"/>
      <c r="Y274" s="21"/>
      <c r="AA274" s="21"/>
      <c r="AC274" s="21"/>
      <c r="AE274" s="21"/>
      <c r="AG274" s="21"/>
      <c r="AI274" s="21"/>
      <c r="AK274" s="21"/>
      <c r="AM274" s="21"/>
      <c r="AN274" s="21"/>
    </row>
    <row r="275">
      <c r="A275" s="21"/>
      <c r="B275" s="21"/>
      <c r="D275" s="21"/>
      <c r="F275" s="21"/>
      <c r="G275" s="21"/>
      <c r="I275" s="21"/>
      <c r="K275" s="21"/>
      <c r="M275" s="21"/>
      <c r="O275" s="21"/>
      <c r="Q275" s="21"/>
      <c r="S275" s="21"/>
      <c r="U275" s="21"/>
      <c r="W275" s="21"/>
      <c r="Y275" s="21"/>
      <c r="AA275" s="21"/>
      <c r="AC275" s="21"/>
      <c r="AE275" s="21"/>
      <c r="AG275" s="21"/>
      <c r="AI275" s="21"/>
      <c r="AK275" s="21"/>
      <c r="AM275" s="21"/>
      <c r="AN275" s="21"/>
    </row>
    <row r="276">
      <c r="A276" s="21"/>
      <c r="B276" s="21"/>
      <c r="D276" s="21"/>
      <c r="F276" s="21"/>
      <c r="G276" s="21"/>
      <c r="I276" s="21"/>
      <c r="K276" s="21"/>
      <c r="M276" s="21"/>
      <c r="O276" s="21"/>
      <c r="Q276" s="21"/>
      <c r="S276" s="21"/>
      <c r="U276" s="21"/>
      <c r="W276" s="21"/>
      <c r="Y276" s="21"/>
      <c r="AA276" s="21"/>
      <c r="AC276" s="21"/>
      <c r="AE276" s="21"/>
      <c r="AG276" s="21"/>
      <c r="AI276" s="21"/>
      <c r="AK276" s="21"/>
      <c r="AM276" s="21"/>
      <c r="AN276" s="21"/>
    </row>
    <row r="277">
      <c r="A277" s="21"/>
      <c r="B277" s="21"/>
      <c r="D277" s="21"/>
      <c r="F277" s="21"/>
      <c r="G277" s="21"/>
      <c r="I277" s="21"/>
      <c r="K277" s="21"/>
      <c r="M277" s="21"/>
      <c r="O277" s="21"/>
      <c r="Q277" s="21"/>
      <c r="S277" s="21"/>
      <c r="U277" s="21"/>
      <c r="W277" s="21"/>
      <c r="Y277" s="21"/>
      <c r="AA277" s="21"/>
      <c r="AC277" s="21"/>
      <c r="AE277" s="21"/>
      <c r="AG277" s="21"/>
      <c r="AI277" s="21"/>
      <c r="AK277" s="21"/>
      <c r="AM277" s="21"/>
      <c r="AN277" s="21"/>
    </row>
    <row r="278">
      <c r="A278" s="21"/>
      <c r="B278" s="21"/>
      <c r="D278" s="21"/>
      <c r="F278" s="21"/>
      <c r="G278" s="21"/>
      <c r="I278" s="21"/>
      <c r="K278" s="21"/>
      <c r="M278" s="21"/>
      <c r="O278" s="21"/>
      <c r="Q278" s="21"/>
      <c r="S278" s="21"/>
      <c r="U278" s="21"/>
      <c r="W278" s="21"/>
      <c r="Y278" s="21"/>
      <c r="AA278" s="21"/>
      <c r="AC278" s="21"/>
      <c r="AE278" s="21"/>
      <c r="AG278" s="21"/>
      <c r="AI278" s="21"/>
      <c r="AK278" s="21"/>
      <c r="AM278" s="21"/>
      <c r="AN278" s="21"/>
    </row>
    <row r="279">
      <c r="A279" s="21"/>
      <c r="B279" s="21"/>
      <c r="D279" s="21"/>
      <c r="F279" s="21"/>
      <c r="G279" s="21"/>
      <c r="I279" s="21"/>
      <c r="K279" s="21"/>
      <c r="M279" s="21"/>
      <c r="O279" s="21"/>
      <c r="Q279" s="21"/>
      <c r="S279" s="21"/>
      <c r="U279" s="21"/>
      <c r="W279" s="21"/>
      <c r="Y279" s="21"/>
      <c r="AA279" s="21"/>
      <c r="AC279" s="21"/>
      <c r="AE279" s="21"/>
      <c r="AG279" s="21"/>
      <c r="AI279" s="21"/>
      <c r="AK279" s="21"/>
      <c r="AM279" s="21"/>
      <c r="AN279" s="21"/>
    </row>
    <row r="280">
      <c r="A280" s="21"/>
      <c r="B280" s="21"/>
      <c r="D280" s="21"/>
      <c r="F280" s="21"/>
      <c r="G280" s="21"/>
      <c r="I280" s="21"/>
      <c r="K280" s="21"/>
      <c r="M280" s="21"/>
      <c r="O280" s="21"/>
      <c r="Q280" s="21"/>
      <c r="S280" s="21"/>
      <c r="U280" s="21"/>
      <c r="W280" s="21"/>
      <c r="Y280" s="21"/>
      <c r="AA280" s="21"/>
      <c r="AC280" s="21"/>
      <c r="AE280" s="21"/>
      <c r="AG280" s="21"/>
      <c r="AI280" s="21"/>
      <c r="AK280" s="21"/>
      <c r="AM280" s="21"/>
      <c r="AN280" s="21"/>
    </row>
    <row r="281">
      <c r="A281" s="21"/>
      <c r="B281" s="21"/>
      <c r="D281" s="21"/>
      <c r="F281" s="21"/>
      <c r="G281" s="21"/>
      <c r="I281" s="21"/>
      <c r="K281" s="21"/>
      <c r="M281" s="21"/>
      <c r="O281" s="21"/>
      <c r="Q281" s="21"/>
      <c r="S281" s="21"/>
      <c r="U281" s="21"/>
      <c r="W281" s="21"/>
      <c r="Y281" s="21"/>
      <c r="AA281" s="21"/>
      <c r="AC281" s="21"/>
      <c r="AE281" s="21"/>
      <c r="AG281" s="21"/>
      <c r="AI281" s="21"/>
      <c r="AK281" s="21"/>
      <c r="AM281" s="21"/>
      <c r="AN281" s="21"/>
    </row>
    <row r="282">
      <c r="A282" s="21"/>
      <c r="B282" s="21"/>
      <c r="D282" s="21"/>
      <c r="F282" s="21"/>
      <c r="G282" s="21"/>
      <c r="I282" s="21"/>
      <c r="K282" s="21"/>
      <c r="M282" s="21"/>
      <c r="O282" s="21"/>
      <c r="Q282" s="21"/>
      <c r="S282" s="21"/>
      <c r="U282" s="21"/>
      <c r="W282" s="21"/>
      <c r="Y282" s="21"/>
      <c r="AA282" s="21"/>
      <c r="AC282" s="21"/>
      <c r="AE282" s="21"/>
      <c r="AG282" s="21"/>
      <c r="AI282" s="21"/>
      <c r="AK282" s="21"/>
      <c r="AM282" s="21"/>
      <c r="AN282" s="21"/>
    </row>
    <row r="283">
      <c r="A283" s="21"/>
      <c r="B283" s="21"/>
      <c r="D283" s="21"/>
      <c r="F283" s="21"/>
      <c r="G283" s="21"/>
      <c r="I283" s="21"/>
      <c r="K283" s="21"/>
      <c r="M283" s="21"/>
      <c r="O283" s="21"/>
      <c r="Q283" s="21"/>
      <c r="S283" s="21"/>
      <c r="U283" s="21"/>
      <c r="W283" s="21"/>
      <c r="Y283" s="21"/>
      <c r="AA283" s="21"/>
      <c r="AC283" s="21"/>
      <c r="AE283" s="21"/>
      <c r="AG283" s="21"/>
      <c r="AI283" s="21"/>
      <c r="AK283" s="21"/>
      <c r="AM283" s="21"/>
      <c r="AN283" s="21"/>
    </row>
    <row r="284">
      <c r="A284" s="21"/>
      <c r="B284" s="21"/>
      <c r="D284" s="21"/>
      <c r="F284" s="21"/>
      <c r="G284" s="21"/>
      <c r="I284" s="21"/>
      <c r="K284" s="21"/>
      <c r="M284" s="21"/>
      <c r="O284" s="21"/>
      <c r="Q284" s="21"/>
      <c r="S284" s="21"/>
      <c r="U284" s="21"/>
      <c r="W284" s="21"/>
      <c r="Y284" s="21"/>
      <c r="AA284" s="21"/>
      <c r="AC284" s="21"/>
      <c r="AE284" s="21"/>
      <c r="AG284" s="21"/>
      <c r="AI284" s="21"/>
      <c r="AK284" s="21"/>
      <c r="AM284" s="21"/>
      <c r="AN284" s="21"/>
    </row>
    <row r="285">
      <c r="A285" s="21"/>
      <c r="B285" s="21"/>
      <c r="D285" s="21"/>
      <c r="F285" s="21"/>
      <c r="G285" s="21"/>
      <c r="I285" s="21"/>
      <c r="K285" s="21"/>
      <c r="M285" s="21"/>
      <c r="O285" s="21"/>
      <c r="Q285" s="21"/>
      <c r="S285" s="21"/>
      <c r="U285" s="21"/>
      <c r="W285" s="21"/>
      <c r="Y285" s="21"/>
      <c r="AA285" s="21"/>
      <c r="AC285" s="21"/>
      <c r="AE285" s="21"/>
      <c r="AG285" s="21"/>
      <c r="AI285" s="21"/>
      <c r="AK285" s="21"/>
      <c r="AM285" s="21"/>
      <c r="AN285" s="21"/>
    </row>
    <row r="286">
      <c r="A286" s="21"/>
      <c r="B286" s="21"/>
      <c r="D286" s="21"/>
      <c r="F286" s="21"/>
      <c r="G286" s="21"/>
      <c r="I286" s="21"/>
      <c r="K286" s="21"/>
      <c r="M286" s="21"/>
      <c r="O286" s="21"/>
      <c r="Q286" s="21"/>
      <c r="S286" s="21"/>
      <c r="U286" s="21"/>
      <c r="W286" s="21"/>
      <c r="Y286" s="21"/>
      <c r="AA286" s="21"/>
      <c r="AC286" s="21"/>
      <c r="AE286" s="21"/>
      <c r="AG286" s="21"/>
      <c r="AI286" s="21"/>
      <c r="AK286" s="21"/>
      <c r="AM286" s="21"/>
      <c r="AN286" s="21"/>
    </row>
    <row r="287">
      <c r="A287" s="21"/>
      <c r="B287" s="21"/>
      <c r="D287" s="21"/>
      <c r="F287" s="21"/>
      <c r="G287" s="21"/>
      <c r="I287" s="21"/>
      <c r="K287" s="21"/>
      <c r="M287" s="21"/>
      <c r="O287" s="21"/>
      <c r="Q287" s="21"/>
      <c r="S287" s="21"/>
      <c r="U287" s="21"/>
      <c r="W287" s="21"/>
      <c r="Y287" s="21"/>
      <c r="AA287" s="21"/>
      <c r="AC287" s="21"/>
      <c r="AE287" s="21"/>
      <c r="AG287" s="21"/>
      <c r="AI287" s="21"/>
      <c r="AK287" s="21"/>
      <c r="AM287" s="21"/>
      <c r="AN287" s="21"/>
    </row>
    <row r="288">
      <c r="A288" s="21"/>
      <c r="B288" s="21"/>
      <c r="D288" s="21"/>
      <c r="F288" s="21"/>
      <c r="G288" s="21"/>
      <c r="I288" s="21"/>
      <c r="K288" s="21"/>
      <c r="M288" s="21"/>
      <c r="O288" s="21"/>
      <c r="Q288" s="21"/>
      <c r="S288" s="21"/>
      <c r="U288" s="21"/>
      <c r="W288" s="21"/>
      <c r="Y288" s="21"/>
      <c r="AA288" s="21"/>
      <c r="AC288" s="21"/>
      <c r="AE288" s="21"/>
      <c r="AG288" s="21"/>
      <c r="AI288" s="21"/>
      <c r="AK288" s="21"/>
      <c r="AM288" s="21"/>
      <c r="AN288" s="21"/>
    </row>
    <row r="289">
      <c r="A289" s="21"/>
      <c r="B289" s="21"/>
      <c r="D289" s="21"/>
      <c r="F289" s="21"/>
      <c r="G289" s="21"/>
      <c r="I289" s="21"/>
      <c r="K289" s="21"/>
      <c r="M289" s="21"/>
      <c r="O289" s="21"/>
      <c r="Q289" s="21"/>
      <c r="S289" s="21"/>
      <c r="U289" s="21"/>
      <c r="W289" s="21"/>
      <c r="Y289" s="21"/>
      <c r="AA289" s="21"/>
      <c r="AC289" s="21"/>
      <c r="AE289" s="21"/>
      <c r="AG289" s="21"/>
      <c r="AI289" s="21"/>
      <c r="AK289" s="21"/>
      <c r="AM289" s="21"/>
      <c r="AN289" s="21"/>
    </row>
    <row r="290">
      <c r="A290" s="21"/>
      <c r="B290" s="21"/>
      <c r="D290" s="21"/>
      <c r="F290" s="21"/>
      <c r="G290" s="21"/>
      <c r="I290" s="21"/>
      <c r="K290" s="21"/>
      <c r="M290" s="21"/>
      <c r="O290" s="21"/>
      <c r="Q290" s="21"/>
      <c r="S290" s="21"/>
      <c r="U290" s="21"/>
      <c r="W290" s="21"/>
      <c r="Y290" s="21"/>
      <c r="AA290" s="21"/>
      <c r="AC290" s="21"/>
      <c r="AE290" s="21"/>
      <c r="AG290" s="21"/>
      <c r="AI290" s="21"/>
      <c r="AK290" s="21"/>
      <c r="AM290" s="21"/>
      <c r="AN290" s="21"/>
    </row>
    <row r="291">
      <c r="A291" s="21"/>
      <c r="B291" s="21"/>
      <c r="D291" s="21"/>
      <c r="F291" s="21"/>
      <c r="G291" s="21"/>
      <c r="I291" s="21"/>
      <c r="K291" s="21"/>
      <c r="M291" s="21"/>
      <c r="O291" s="21"/>
      <c r="Q291" s="21"/>
      <c r="S291" s="21"/>
      <c r="U291" s="21"/>
      <c r="W291" s="21"/>
      <c r="Y291" s="21"/>
      <c r="AA291" s="21"/>
      <c r="AC291" s="21"/>
      <c r="AE291" s="21"/>
      <c r="AG291" s="21"/>
      <c r="AI291" s="21"/>
      <c r="AK291" s="21"/>
      <c r="AM291" s="21"/>
      <c r="AN291" s="21"/>
    </row>
    <row r="292">
      <c r="A292" s="21"/>
      <c r="B292" s="21"/>
      <c r="D292" s="21"/>
      <c r="F292" s="21"/>
      <c r="G292" s="21"/>
      <c r="I292" s="21"/>
      <c r="K292" s="21"/>
      <c r="M292" s="21"/>
      <c r="O292" s="21"/>
      <c r="Q292" s="21"/>
      <c r="S292" s="21"/>
      <c r="U292" s="21"/>
      <c r="W292" s="21"/>
      <c r="Y292" s="21"/>
      <c r="AA292" s="21"/>
      <c r="AC292" s="21"/>
      <c r="AE292" s="21"/>
      <c r="AG292" s="21"/>
      <c r="AI292" s="21"/>
      <c r="AK292" s="21"/>
      <c r="AM292" s="21"/>
      <c r="AN292" s="21"/>
    </row>
    <row r="293">
      <c r="A293" s="21"/>
      <c r="B293" s="21"/>
      <c r="D293" s="21"/>
      <c r="F293" s="21"/>
      <c r="G293" s="21"/>
      <c r="I293" s="21"/>
      <c r="K293" s="21"/>
      <c r="M293" s="21"/>
      <c r="O293" s="21"/>
      <c r="Q293" s="21"/>
      <c r="S293" s="21"/>
      <c r="U293" s="21"/>
      <c r="W293" s="21"/>
      <c r="Y293" s="21"/>
      <c r="AA293" s="21"/>
      <c r="AC293" s="21"/>
      <c r="AE293" s="21"/>
      <c r="AG293" s="21"/>
      <c r="AI293" s="21"/>
      <c r="AK293" s="21"/>
      <c r="AM293" s="21"/>
      <c r="AN293" s="21"/>
    </row>
    <row r="294">
      <c r="A294" s="21"/>
      <c r="B294" s="21"/>
      <c r="D294" s="21"/>
      <c r="F294" s="21"/>
      <c r="G294" s="21"/>
      <c r="I294" s="21"/>
      <c r="K294" s="21"/>
      <c r="M294" s="21"/>
      <c r="O294" s="21"/>
      <c r="Q294" s="21"/>
      <c r="S294" s="21"/>
      <c r="U294" s="21"/>
      <c r="W294" s="21"/>
      <c r="Y294" s="21"/>
      <c r="AA294" s="21"/>
      <c r="AC294" s="21"/>
      <c r="AE294" s="21"/>
      <c r="AG294" s="21"/>
      <c r="AI294" s="21"/>
      <c r="AK294" s="21"/>
      <c r="AM294" s="21"/>
      <c r="AN294" s="21"/>
    </row>
    <row r="295">
      <c r="A295" s="21"/>
      <c r="B295" s="21"/>
      <c r="D295" s="21"/>
      <c r="F295" s="21"/>
      <c r="G295" s="21"/>
      <c r="I295" s="21"/>
      <c r="K295" s="21"/>
      <c r="M295" s="21"/>
      <c r="O295" s="21"/>
      <c r="Q295" s="21"/>
      <c r="S295" s="21"/>
      <c r="U295" s="21"/>
      <c r="W295" s="21"/>
      <c r="Y295" s="21"/>
      <c r="AA295" s="21"/>
      <c r="AC295" s="21"/>
      <c r="AE295" s="21"/>
      <c r="AG295" s="21"/>
      <c r="AI295" s="21"/>
      <c r="AK295" s="21"/>
      <c r="AM295" s="21"/>
      <c r="AN295" s="21"/>
    </row>
    <row r="296">
      <c r="A296" s="21"/>
      <c r="B296" s="21"/>
      <c r="D296" s="21"/>
      <c r="F296" s="21"/>
      <c r="G296" s="21"/>
      <c r="I296" s="21"/>
      <c r="K296" s="21"/>
      <c r="M296" s="21"/>
      <c r="O296" s="21"/>
      <c r="Q296" s="21"/>
      <c r="S296" s="21"/>
      <c r="U296" s="21"/>
      <c r="W296" s="21"/>
      <c r="Y296" s="21"/>
      <c r="AA296" s="21"/>
      <c r="AC296" s="21"/>
      <c r="AE296" s="21"/>
      <c r="AG296" s="21"/>
      <c r="AI296" s="21"/>
      <c r="AK296" s="21"/>
      <c r="AM296" s="21"/>
      <c r="AN296" s="21"/>
    </row>
    <row r="297">
      <c r="A297" s="21"/>
      <c r="B297" s="21"/>
      <c r="D297" s="21"/>
      <c r="F297" s="21"/>
      <c r="G297" s="21"/>
      <c r="I297" s="21"/>
      <c r="K297" s="21"/>
      <c r="M297" s="21"/>
      <c r="O297" s="21"/>
      <c r="Q297" s="21"/>
      <c r="S297" s="21"/>
      <c r="U297" s="21"/>
      <c r="W297" s="21"/>
      <c r="Y297" s="21"/>
      <c r="AA297" s="21"/>
      <c r="AC297" s="21"/>
      <c r="AE297" s="21"/>
      <c r="AG297" s="21"/>
      <c r="AI297" s="21"/>
      <c r="AK297" s="21"/>
      <c r="AM297" s="21"/>
      <c r="AN297" s="21"/>
    </row>
    <row r="298">
      <c r="A298" s="21"/>
      <c r="B298" s="21"/>
      <c r="D298" s="21"/>
      <c r="F298" s="21"/>
      <c r="G298" s="21"/>
      <c r="I298" s="21"/>
      <c r="K298" s="21"/>
      <c r="M298" s="21"/>
      <c r="O298" s="21"/>
      <c r="Q298" s="21"/>
      <c r="S298" s="21"/>
      <c r="U298" s="21"/>
      <c r="W298" s="21"/>
      <c r="Y298" s="21"/>
      <c r="AA298" s="21"/>
      <c r="AC298" s="21"/>
      <c r="AE298" s="21"/>
      <c r="AG298" s="21"/>
      <c r="AI298" s="21"/>
      <c r="AK298" s="21"/>
      <c r="AM298" s="21"/>
      <c r="AN298" s="21"/>
    </row>
    <row r="299">
      <c r="A299" s="21"/>
      <c r="B299" s="21"/>
      <c r="D299" s="21"/>
      <c r="F299" s="21"/>
      <c r="G299" s="21"/>
      <c r="I299" s="21"/>
      <c r="K299" s="21"/>
      <c r="M299" s="21"/>
      <c r="O299" s="21"/>
      <c r="Q299" s="21"/>
      <c r="S299" s="21"/>
      <c r="U299" s="21"/>
      <c r="W299" s="21"/>
      <c r="Y299" s="21"/>
      <c r="AA299" s="21"/>
      <c r="AC299" s="21"/>
      <c r="AE299" s="21"/>
      <c r="AG299" s="21"/>
      <c r="AI299" s="21"/>
      <c r="AK299" s="21"/>
      <c r="AM299" s="21"/>
      <c r="AN299" s="21"/>
    </row>
    <row r="300">
      <c r="A300" s="21"/>
      <c r="B300" s="21"/>
      <c r="D300" s="21"/>
      <c r="F300" s="21"/>
      <c r="G300" s="21"/>
      <c r="I300" s="21"/>
      <c r="K300" s="21"/>
      <c r="M300" s="21"/>
      <c r="O300" s="21"/>
      <c r="Q300" s="21"/>
      <c r="S300" s="21"/>
      <c r="U300" s="21"/>
      <c r="W300" s="21"/>
      <c r="Y300" s="21"/>
      <c r="AA300" s="21"/>
      <c r="AC300" s="21"/>
      <c r="AE300" s="21"/>
      <c r="AG300" s="21"/>
      <c r="AI300" s="21"/>
      <c r="AK300" s="21"/>
      <c r="AM300" s="21"/>
      <c r="AN300" s="21"/>
    </row>
    <row r="301">
      <c r="A301" s="21"/>
      <c r="B301" s="21"/>
      <c r="D301" s="21"/>
      <c r="F301" s="21"/>
      <c r="G301" s="21"/>
      <c r="I301" s="21"/>
      <c r="K301" s="21"/>
      <c r="M301" s="21"/>
      <c r="O301" s="21"/>
      <c r="Q301" s="21"/>
      <c r="S301" s="21"/>
      <c r="U301" s="21"/>
      <c r="W301" s="21"/>
      <c r="Y301" s="21"/>
      <c r="AA301" s="21"/>
      <c r="AC301" s="21"/>
      <c r="AE301" s="21"/>
      <c r="AG301" s="21"/>
      <c r="AI301" s="21"/>
      <c r="AK301" s="21"/>
      <c r="AM301" s="21"/>
      <c r="AN301" s="21"/>
    </row>
    <row r="302">
      <c r="A302" s="21"/>
      <c r="B302" s="21"/>
      <c r="D302" s="21"/>
      <c r="F302" s="21"/>
      <c r="G302" s="21"/>
      <c r="I302" s="21"/>
      <c r="K302" s="21"/>
      <c r="M302" s="21"/>
      <c r="O302" s="21"/>
      <c r="Q302" s="21"/>
      <c r="S302" s="21"/>
      <c r="U302" s="21"/>
      <c r="W302" s="21"/>
      <c r="Y302" s="21"/>
      <c r="AA302" s="21"/>
      <c r="AC302" s="21"/>
      <c r="AE302" s="21"/>
      <c r="AG302" s="21"/>
      <c r="AI302" s="21"/>
      <c r="AK302" s="21"/>
      <c r="AM302" s="21"/>
      <c r="AN302" s="21"/>
    </row>
    <row r="303">
      <c r="A303" s="21"/>
      <c r="B303" s="21"/>
      <c r="D303" s="21"/>
      <c r="F303" s="21"/>
      <c r="G303" s="21"/>
      <c r="I303" s="21"/>
      <c r="K303" s="21"/>
      <c r="M303" s="21"/>
      <c r="O303" s="21"/>
      <c r="Q303" s="21"/>
      <c r="S303" s="21"/>
      <c r="U303" s="21"/>
      <c r="W303" s="21"/>
      <c r="Y303" s="21"/>
      <c r="AA303" s="21"/>
      <c r="AC303" s="21"/>
      <c r="AE303" s="21"/>
      <c r="AG303" s="21"/>
      <c r="AI303" s="21"/>
      <c r="AK303" s="21"/>
      <c r="AM303" s="21"/>
      <c r="AN303" s="21"/>
    </row>
    <row r="304">
      <c r="A304" s="21"/>
      <c r="B304" s="21"/>
      <c r="D304" s="21"/>
      <c r="F304" s="21"/>
      <c r="G304" s="21"/>
      <c r="I304" s="21"/>
      <c r="K304" s="21"/>
      <c r="M304" s="21"/>
      <c r="O304" s="21"/>
      <c r="Q304" s="21"/>
      <c r="S304" s="21"/>
      <c r="U304" s="21"/>
      <c r="W304" s="21"/>
      <c r="Y304" s="21"/>
      <c r="AA304" s="21"/>
      <c r="AC304" s="21"/>
      <c r="AE304" s="21"/>
      <c r="AG304" s="21"/>
      <c r="AI304" s="21"/>
      <c r="AK304" s="21"/>
      <c r="AM304" s="21"/>
      <c r="AN304" s="21"/>
    </row>
    <row r="305">
      <c r="A305" s="21"/>
      <c r="B305" s="21"/>
      <c r="D305" s="21"/>
      <c r="F305" s="21"/>
      <c r="G305" s="21"/>
      <c r="I305" s="21"/>
      <c r="K305" s="21"/>
      <c r="M305" s="21"/>
      <c r="O305" s="21"/>
      <c r="Q305" s="21"/>
      <c r="S305" s="21"/>
      <c r="U305" s="21"/>
      <c r="W305" s="21"/>
      <c r="Y305" s="21"/>
      <c r="AA305" s="21"/>
      <c r="AC305" s="21"/>
      <c r="AE305" s="21"/>
      <c r="AG305" s="21"/>
      <c r="AI305" s="21"/>
      <c r="AK305" s="21"/>
      <c r="AM305" s="21"/>
      <c r="AN305" s="21"/>
    </row>
    <row r="306">
      <c r="A306" s="21"/>
      <c r="B306" s="21"/>
      <c r="D306" s="21"/>
      <c r="F306" s="21"/>
      <c r="G306" s="21"/>
      <c r="I306" s="21"/>
      <c r="K306" s="21"/>
      <c r="M306" s="21"/>
      <c r="O306" s="21"/>
      <c r="Q306" s="21"/>
      <c r="S306" s="21"/>
      <c r="U306" s="21"/>
      <c r="W306" s="21"/>
      <c r="Y306" s="21"/>
      <c r="AA306" s="21"/>
      <c r="AC306" s="21"/>
      <c r="AE306" s="21"/>
      <c r="AG306" s="21"/>
      <c r="AI306" s="21"/>
      <c r="AK306" s="21"/>
      <c r="AM306" s="21"/>
      <c r="AN306" s="21"/>
    </row>
    <row r="307">
      <c r="A307" s="21"/>
      <c r="B307" s="21"/>
      <c r="D307" s="21"/>
      <c r="F307" s="21"/>
      <c r="G307" s="21"/>
      <c r="I307" s="21"/>
      <c r="K307" s="21"/>
      <c r="M307" s="21"/>
      <c r="O307" s="21"/>
      <c r="Q307" s="21"/>
      <c r="S307" s="21"/>
      <c r="U307" s="21"/>
      <c r="W307" s="21"/>
      <c r="Y307" s="21"/>
      <c r="AA307" s="21"/>
      <c r="AC307" s="21"/>
      <c r="AE307" s="21"/>
      <c r="AG307" s="21"/>
      <c r="AI307" s="21"/>
      <c r="AK307" s="21"/>
      <c r="AM307" s="21"/>
      <c r="AN307" s="21"/>
    </row>
    <row r="308">
      <c r="A308" s="21"/>
      <c r="B308" s="21"/>
      <c r="D308" s="21"/>
      <c r="F308" s="21"/>
      <c r="G308" s="21"/>
      <c r="I308" s="21"/>
      <c r="K308" s="21"/>
      <c r="M308" s="21"/>
      <c r="O308" s="21"/>
      <c r="Q308" s="21"/>
      <c r="S308" s="21"/>
      <c r="U308" s="21"/>
      <c r="W308" s="21"/>
      <c r="Y308" s="21"/>
      <c r="AA308" s="21"/>
      <c r="AC308" s="21"/>
      <c r="AE308" s="21"/>
      <c r="AG308" s="21"/>
      <c r="AI308" s="21"/>
      <c r="AK308" s="21"/>
      <c r="AM308" s="21"/>
      <c r="AN308" s="21"/>
    </row>
    <row r="309">
      <c r="A309" s="21"/>
      <c r="B309" s="21"/>
      <c r="D309" s="21"/>
      <c r="F309" s="21"/>
      <c r="G309" s="21"/>
      <c r="I309" s="21"/>
      <c r="K309" s="21"/>
      <c r="M309" s="21"/>
      <c r="O309" s="21"/>
      <c r="Q309" s="21"/>
      <c r="S309" s="21"/>
      <c r="U309" s="21"/>
      <c r="W309" s="21"/>
      <c r="Y309" s="21"/>
      <c r="AA309" s="21"/>
      <c r="AC309" s="21"/>
      <c r="AE309" s="21"/>
      <c r="AG309" s="21"/>
      <c r="AI309" s="21"/>
      <c r="AK309" s="21"/>
      <c r="AM309" s="21"/>
      <c r="AN309" s="21"/>
    </row>
    <row r="310">
      <c r="A310" s="21"/>
      <c r="B310" s="21"/>
      <c r="D310" s="21"/>
      <c r="F310" s="21"/>
      <c r="G310" s="21"/>
      <c r="I310" s="21"/>
      <c r="K310" s="21"/>
      <c r="M310" s="21"/>
      <c r="O310" s="21"/>
      <c r="Q310" s="21"/>
      <c r="S310" s="21"/>
      <c r="U310" s="21"/>
      <c r="W310" s="21"/>
      <c r="Y310" s="21"/>
      <c r="AA310" s="21"/>
      <c r="AC310" s="21"/>
      <c r="AE310" s="21"/>
      <c r="AG310" s="21"/>
      <c r="AI310" s="21"/>
      <c r="AK310" s="21"/>
      <c r="AM310" s="21"/>
      <c r="AN310" s="21"/>
    </row>
    <row r="311">
      <c r="A311" s="21"/>
      <c r="B311" s="21"/>
      <c r="D311" s="21"/>
      <c r="F311" s="21"/>
      <c r="G311" s="21"/>
      <c r="I311" s="21"/>
      <c r="K311" s="21"/>
      <c r="M311" s="21"/>
      <c r="O311" s="21"/>
      <c r="Q311" s="21"/>
      <c r="S311" s="21"/>
      <c r="U311" s="21"/>
      <c r="W311" s="21"/>
      <c r="Y311" s="21"/>
      <c r="AA311" s="21"/>
      <c r="AC311" s="21"/>
      <c r="AE311" s="21"/>
      <c r="AG311" s="21"/>
      <c r="AI311" s="21"/>
      <c r="AK311" s="21"/>
      <c r="AM311" s="21"/>
      <c r="AN311" s="21"/>
    </row>
    <row r="312">
      <c r="A312" s="21"/>
      <c r="B312" s="21"/>
      <c r="D312" s="21"/>
      <c r="F312" s="21"/>
      <c r="G312" s="21"/>
      <c r="I312" s="21"/>
      <c r="K312" s="21"/>
      <c r="M312" s="21"/>
      <c r="O312" s="21"/>
      <c r="Q312" s="21"/>
      <c r="S312" s="21"/>
      <c r="U312" s="21"/>
      <c r="W312" s="21"/>
      <c r="Y312" s="21"/>
      <c r="AA312" s="21"/>
      <c r="AC312" s="21"/>
      <c r="AE312" s="21"/>
      <c r="AG312" s="21"/>
      <c r="AI312" s="21"/>
      <c r="AK312" s="21"/>
      <c r="AM312" s="21"/>
      <c r="AN312" s="21"/>
    </row>
    <row r="313">
      <c r="A313" s="21"/>
      <c r="B313" s="21"/>
      <c r="D313" s="21"/>
      <c r="F313" s="21"/>
      <c r="G313" s="21"/>
      <c r="I313" s="21"/>
      <c r="K313" s="21"/>
      <c r="M313" s="21"/>
      <c r="O313" s="21"/>
      <c r="Q313" s="21"/>
      <c r="S313" s="21"/>
      <c r="U313" s="21"/>
      <c r="W313" s="21"/>
      <c r="Y313" s="21"/>
      <c r="AA313" s="21"/>
      <c r="AC313" s="21"/>
      <c r="AE313" s="21"/>
      <c r="AG313" s="21"/>
      <c r="AI313" s="21"/>
      <c r="AK313" s="21"/>
      <c r="AM313" s="21"/>
      <c r="AN313" s="21"/>
    </row>
    <row r="314">
      <c r="A314" s="21"/>
      <c r="B314" s="21"/>
      <c r="D314" s="21"/>
      <c r="F314" s="21"/>
      <c r="G314" s="21"/>
      <c r="I314" s="21"/>
      <c r="K314" s="21"/>
      <c r="M314" s="21"/>
      <c r="O314" s="21"/>
      <c r="Q314" s="21"/>
      <c r="S314" s="21"/>
      <c r="U314" s="21"/>
      <c r="W314" s="21"/>
      <c r="Y314" s="21"/>
      <c r="AA314" s="21"/>
      <c r="AC314" s="21"/>
      <c r="AE314" s="21"/>
      <c r="AG314" s="21"/>
      <c r="AI314" s="21"/>
      <c r="AK314" s="21"/>
      <c r="AM314" s="21"/>
      <c r="AN314" s="21"/>
    </row>
    <row r="315">
      <c r="A315" s="21"/>
      <c r="B315" s="21"/>
      <c r="D315" s="21"/>
      <c r="F315" s="21"/>
      <c r="G315" s="21"/>
      <c r="I315" s="21"/>
      <c r="K315" s="21"/>
      <c r="M315" s="21"/>
      <c r="O315" s="21"/>
      <c r="Q315" s="21"/>
      <c r="S315" s="21"/>
      <c r="U315" s="21"/>
      <c r="W315" s="21"/>
      <c r="Y315" s="21"/>
      <c r="AA315" s="21"/>
      <c r="AC315" s="21"/>
      <c r="AE315" s="21"/>
      <c r="AG315" s="21"/>
      <c r="AI315" s="21"/>
      <c r="AK315" s="21"/>
      <c r="AM315" s="21"/>
      <c r="AN315" s="21"/>
    </row>
    <row r="316">
      <c r="A316" s="21"/>
      <c r="B316" s="21"/>
      <c r="D316" s="21"/>
      <c r="F316" s="21"/>
      <c r="G316" s="21"/>
      <c r="I316" s="21"/>
      <c r="K316" s="21"/>
      <c r="M316" s="21"/>
      <c r="O316" s="21"/>
      <c r="Q316" s="21"/>
      <c r="S316" s="21"/>
      <c r="U316" s="21"/>
      <c r="W316" s="21"/>
      <c r="Y316" s="21"/>
      <c r="AA316" s="21"/>
      <c r="AC316" s="21"/>
      <c r="AE316" s="21"/>
      <c r="AG316" s="21"/>
      <c r="AI316" s="21"/>
      <c r="AK316" s="21"/>
      <c r="AM316" s="21"/>
      <c r="AN316" s="21"/>
    </row>
    <row r="317">
      <c r="A317" s="21"/>
      <c r="B317" s="21"/>
      <c r="D317" s="21"/>
      <c r="F317" s="21"/>
      <c r="G317" s="21"/>
      <c r="I317" s="21"/>
      <c r="K317" s="21"/>
      <c r="M317" s="21"/>
      <c r="O317" s="21"/>
      <c r="Q317" s="21"/>
      <c r="S317" s="21"/>
      <c r="U317" s="21"/>
      <c r="W317" s="21"/>
      <c r="Y317" s="21"/>
      <c r="AA317" s="21"/>
      <c r="AC317" s="21"/>
      <c r="AE317" s="21"/>
      <c r="AG317" s="21"/>
      <c r="AI317" s="21"/>
      <c r="AK317" s="21"/>
      <c r="AM317" s="21"/>
      <c r="AN317" s="21"/>
    </row>
    <row r="318">
      <c r="A318" s="21"/>
      <c r="B318" s="21"/>
      <c r="D318" s="21"/>
      <c r="F318" s="21"/>
      <c r="G318" s="21"/>
      <c r="I318" s="21"/>
      <c r="K318" s="21"/>
      <c r="M318" s="21"/>
      <c r="O318" s="21"/>
      <c r="Q318" s="21"/>
      <c r="S318" s="21"/>
      <c r="U318" s="21"/>
      <c r="W318" s="21"/>
      <c r="Y318" s="21"/>
      <c r="AA318" s="21"/>
      <c r="AC318" s="21"/>
      <c r="AE318" s="21"/>
      <c r="AG318" s="21"/>
      <c r="AI318" s="21"/>
      <c r="AK318" s="21"/>
      <c r="AM318" s="21"/>
      <c r="AN318" s="21"/>
    </row>
    <row r="319">
      <c r="A319" s="21"/>
      <c r="B319" s="21"/>
      <c r="D319" s="21"/>
      <c r="F319" s="21"/>
      <c r="G319" s="21"/>
      <c r="I319" s="21"/>
      <c r="K319" s="21"/>
      <c r="M319" s="21"/>
      <c r="O319" s="21"/>
      <c r="Q319" s="21"/>
      <c r="S319" s="21"/>
      <c r="U319" s="21"/>
      <c r="W319" s="21"/>
      <c r="Y319" s="21"/>
      <c r="AA319" s="21"/>
      <c r="AC319" s="21"/>
      <c r="AE319" s="21"/>
      <c r="AG319" s="21"/>
      <c r="AI319" s="21"/>
      <c r="AK319" s="21"/>
      <c r="AM319" s="21"/>
      <c r="AN319" s="21"/>
    </row>
    <row r="320">
      <c r="A320" s="21"/>
      <c r="B320" s="21"/>
      <c r="D320" s="21"/>
      <c r="F320" s="21"/>
      <c r="G320" s="21"/>
      <c r="I320" s="21"/>
      <c r="K320" s="21"/>
      <c r="M320" s="21"/>
      <c r="O320" s="21"/>
      <c r="Q320" s="21"/>
      <c r="S320" s="21"/>
      <c r="U320" s="21"/>
      <c r="W320" s="21"/>
      <c r="Y320" s="21"/>
      <c r="AA320" s="21"/>
      <c r="AC320" s="21"/>
      <c r="AE320" s="21"/>
      <c r="AG320" s="21"/>
      <c r="AI320" s="21"/>
      <c r="AK320" s="21"/>
      <c r="AM320" s="21"/>
      <c r="AN320" s="21"/>
    </row>
    <row r="321">
      <c r="A321" s="21"/>
      <c r="B321" s="21"/>
      <c r="D321" s="21"/>
      <c r="F321" s="21"/>
      <c r="G321" s="21"/>
      <c r="I321" s="21"/>
      <c r="K321" s="21"/>
      <c r="M321" s="21"/>
      <c r="O321" s="21"/>
      <c r="Q321" s="21"/>
      <c r="S321" s="21"/>
      <c r="U321" s="21"/>
      <c r="W321" s="21"/>
      <c r="Y321" s="21"/>
      <c r="AA321" s="21"/>
      <c r="AC321" s="21"/>
      <c r="AE321" s="21"/>
      <c r="AG321" s="21"/>
      <c r="AI321" s="21"/>
      <c r="AK321" s="21"/>
      <c r="AM321" s="21"/>
      <c r="AN321" s="21"/>
    </row>
    <row r="322">
      <c r="A322" s="21"/>
      <c r="B322" s="21"/>
      <c r="D322" s="21"/>
      <c r="F322" s="21"/>
      <c r="G322" s="21"/>
      <c r="I322" s="21"/>
      <c r="K322" s="21"/>
      <c r="M322" s="21"/>
      <c r="O322" s="21"/>
      <c r="Q322" s="21"/>
      <c r="S322" s="21"/>
      <c r="U322" s="21"/>
      <c r="W322" s="21"/>
      <c r="Y322" s="21"/>
      <c r="AA322" s="21"/>
      <c r="AC322" s="21"/>
      <c r="AE322" s="21"/>
      <c r="AG322" s="21"/>
      <c r="AI322" s="21"/>
      <c r="AK322" s="21"/>
      <c r="AM322" s="21"/>
      <c r="AN322" s="21"/>
    </row>
    <row r="323">
      <c r="A323" s="21"/>
      <c r="B323" s="21"/>
      <c r="D323" s="21"/>
      <c r="F323" s="21"/>
      <c r="G323" s="21"/>
      <c r="I323" s="21"/>
      <c r="K323" s="21"/>
      <c r="M323" s="21"/>
      <c r="O323" s="21"/>
      <c r="Q323" s="21"/>
      <c r="S323" s="21"/>
      <c r="U323" s="21"/>
      <c r="W323" s="21"/>
      <c r="Y323" s="21"/>
      <c r="AA323" s="21"/>
      <c r="AC323" s="21"/>
      <c r="AE323" s="21"/>
      <c r="AG323" s="21"/>
      <c r="AI323" s="21"/>
      <c r="AK323" s="21"/>
      <c r="AM323" s="21"/>
      <c r="AN323" s="21"/>
    </row>
    <row r="324">
      <c r="A324" s="21"/>
      <c r="B324" s="21"/>
      <c r="D324" s="21"/>
      <c r="F324" s="21"/>
      <c r="G324" s="21"/>
      <c r="I324" s="21"/>
      <c r="K324" s="21"/>
      <c r="M324" s="21"/>
      <c r="O324" s="21"/>
      <c r="Q324" s="21"/>
      <c r="S324" s="21"/>
      <c r="U324" s="21"/>
      <c r="W324" s="21"/>
      <c r="Y324" s="21"/>
      <c r="AA324" s="21"/>
      <c r="AC324" s="21"/>
      <c r="AE324" s="21"/>
      <c r="AG324" s="21"/>
      <c r="AI324" s="21"/>
      <c r="AK324" s="21"/>
      <c r="AM324" s="21"/>
      <c r="AN324" s="21"/>
    </row>
    <row r="325">
      <c r="A325" s="21"/>
      <c r="B325" s="21"/>
      <c r="D325" s="21"/>
      <c r="F325" s="21"/>
      <c r="G325" s="21"/>
      <c r="I325" s="21"/>
      <c r="K325" s="21"/>
      <c r="M325" s="21"/>
      <c r="O325" s="21"/>
      <c r="Q325" s="21"/>
      <c r="S325" s="21"/>
      <c r="U325" s="21"/>
      <c r="W325" s="21"/>
      <c r="Y325" s="21"/>
      <c r="AA325" s="21"/>
      <c r="AC325" s="21"/>
      <c r="AE325" s="21"/>
      <c r="AG325" s="21"/>
      <c r="AI325" s="21"/>
      <c r="AK325" s="21"/>
      <c r="AM325" s="21"/>
      <c r="AN325" s="21"/>
    </row>
    <row r="326">
      <c r="A326" s="21"/>
      <c r="B326" s="21"/>
      <c r="D326" s="21"/>
      <c r="F326" s="21"/>
      <c r="G326" s="21"/>
      <c r="I326" s="21"/>
      <c r="K326" s="21"/>
      <c r="M326" s="21"/>
      <c r="O326" s="21"/>
      <c r="Q326" s="21"/>
      <c r="S326" s="21"/>
      <c r="U326" s="21"/>
      <c r="W326" s="21"/>
      <c r="Y326" s="21"/>
      <c r="AA326" s="21"/>
      <c r="AC326" s="21"/>
      <c r="AE326" s="21"/>
      <c r="AG326" s="21"/>
      <c r="AI326" s="21"/>
      <c r="AK326" s="21"/>
      <c r="AM326" s="21"/>
      <c r="AN326" s="21"/>
    </row>
    <row r="327">
      <c r="A327" s="21"/>
      <c r="B327" s="21"/>
      <c r="D327" s="21"/>
      <c r="F327" s="21"/>
      <c r="G327" s="21"/>
      <c r="I327" s="21"/>
      <c r="K327" s="21"/>
      <c r="M327" s="21"/>
      <c r="O327" s="21"/>
      <c r="Q327" s="21"/>
      <c r="S327" s="21"/>
      <c r="U327" s="21"/>
      <c r="W327" s="21"/>
      <c r="Y327" s="21"/>
      <c r="AA327" s="21"/>
      <c r="AC327" s="21"/>
      <c r="AE327" s="21"/>
      <c r="AG327" s="21"/>
      <c r="AI327" s="21"/>
      <c r="AK327" s="21"/>
      <c r="AM327" s="21"/>
      <c r="AN327" s="21"/>
    </row>
    <row r="328">
      <c r="A328" s="21"/>
      <c r="B328" s="21"/>
      <c r="D328" s="21"/>
      <c r="F328" s="21"/>
      <c r="G328" s="21"/>
      <c r="I328" s="21"/>
      <c r="K328" s="21"/>
      <c r="M328" s="21"/>
      <c r="O328" s="21"/>
      <c r="Q328" s="21"/>
      <c r="S328" s="21"/>
      <c r="U328" s="21"/>
      <c r="W328" s="21"/>
      <c r="Y328" s="21"/>
      <c r="AA328" s="21"/>
      <c r="AC328" s="21"/>
      <c r="AE328" s="21"/>
      <c r="AG328" s="21"/>
      <c r="AI328" s="21"/>
      <c r="AK328" s="21"/>
      <c r="AM328" s="21"/>
      <c r="AN328" s="21"/>
    </row>
    <row r="329">
      <c r="A329" s="21"/>
      <c r="B329" s="21"/>
      <c r="D329" s="21"/>
      <c r="F329" s="21"/>
      <c r="G329" s="21"/>
      <c r="I329" s="21"/>
      <c r="K329" s="21"/>
      <c r="M329" s="21"/>
      <c r="O329" s="21"/>
      <c r="Q329" s="21"/>
      <c r="S329" s="21"/>
      <c r="U329" s="21"/>
      <c r="W329" s="21"/>
      <c r="Y329" s="21"/>
      <c r="AA329" s="21"/>
      <c r="AC329" s="21"/>
      <c r="AE329" s="21"/>
      <c r="AG329" s="21"/>
      <c r="AI329" s="21"/>
      <c r="AK329" s="21"/>
      <c r="AM329" s="21"/>
      <c r="AN329" s="21"/>
    </row>
    <row r="330">
      <c r="A330" s="21"/>
      <c r="B330" s="21"/>
      <c r="D330" s="21"/>
      <c r="F330" s="21"/>
      <c r="G330" s="21"/>
      <c r="I330" s="21"/>
      <c r="K330" s="21"/>
      <c r="M330" s="21"/>
      <c r="O330" s="21"/>
      <c r="Q330" s="21"/>
      <c r="S330" s="21"/>
      <c r="U330" s="21"/>
      <c r="W330" s="21"/>
      <c r="Y330" s="21"/>
      <c r="AA330" s="21"/>
      <c r="AC330" s="21"/>
      <c r="AE330" s="21"/>
      <c r="AG330" s="21"/>
      <c r="AI330" s="21"/>
      <c r="AK330" s="21"/>
      <c r="AM330" s="21"/>
      <c r="AN330" s="21"/>
    </row>
    <row r="331">
      <c r="A331" s="21"/>
      <c r="B331" s="21"/>
      <c r="D331" s="21"/>
      <c r="F331" s="21"/>
      <c r="G331" s="21"/>
      <c r="I331" s="21"/>
      <c r="K331" s="21"/>
      <c r="M331" s="21"/>
      <c r="O331" s="21"/>
      <c r="Q331" s="21"/>
      <c r="S331" s="21"/>
      <c r="U331" s="21"/>
      <c r="W331" s="21"/>
      <c r="Y331" s="21"/>
      <c r="AA331" s="21"/>
      <c r="AC331" s="21"/>
      <c r="AE331" s="21"/>
      <c r="AG331" s="21"/>
      <c r="AI331" s="21"/>
      <c r="AK331" s="21"/>
      <c r="AM331" s="21"/>
      <c r="AN331" s="21"/>
    </row>
    <row r="332">
      <c r="A332" s="21"/>
      <c r="B332" s="21"/>
      <c r="D332" s="21"/>
      <c r="F332" s="21"/>
      <c r="G332" s="21"/>
      <c r="I332" s="21"/>
      <c r="K332" s="21"/>
      <c r="M332" s="21"/>
      <c r="O332" s="21"/>
      <c r="Q332" s="21"/>
      <c r="S332" s="21"/>
      <c r="U332" s="21"/>
      <c r="W332" s="21"/>
      <c r="Y332" s="21"/>
      <c r="AA332" s="21"/>
      <c r="AC332" s="21"/>
      <c r="AE332" s="21"/>
      <c r="AG332" s="21"/>
      <c r="AI332" s="21"/>
      <c r="AK332" s="21"/>
      <c r="AM332" s="21"/>
      <c r="AN332" s="21"/>
    </row>
    <row r="333">
      <c r="A333" s="21"/>
      <c r="B333" s="21"/>
      <c r="D333" s="21"/>
      <c r="F333" s="21"/>
      <c r="G333" s="21"/>
      <c r="I333" s="21"/>
      <c r="K333" s="21"/>
      <c r="M333" s="21"/>
      <c r="O333" s="21"/>
      <c r="Q333" s="21"/>
      <c r="S333" s="21"/>
      <c r="U333" s="21"/>
      <c r="W333" s="21"/>
      <c r="Y333" s="21"/>
      <c r="AA333" s="21"/>
      <c r="AC333" s="21"/>
      <c r="AE333" s="21"/>
      <c r="AG333" s="21"/>
      <c r="AI333" s="21"/>
      <c r="AK333" s="21"/>
      <c r="AM333" s="21"/>
      <c r="AN333" s="21"/>
    </row>
    <row r="334">
      <c r="A334" s="21"/>
      <c r="B334" s="21"/>
      <c r="D334" s="21"/>
      <c r="F334" s="21"/>
      <c r="G334" s="21"/>
      <c r="I334" s="21"/>
      <c r="K334" s="21"/>
      <c r="M334" s="21"/>
      <c r="O334" s="21"/>
      <c r="Q334" s="21"/>
      <c r="S334" s="21"/>
      <c r="U334" s="21"/>
      <c r="W334" s="21"/>
      <c r="Y334" s="21"/>
      <c r="AA334" s="21"/>
      <c r="AC334" s="21"/>
      <c r="AE334" s="21"/>
      <c r="AG334" s="21"/>
      <c r="AI334" s="21"/>
      <c r="AK334" s="21"/>
      <c r="AM334" s="21"/>
      <c r="AN334" s="21"/>
    </row>
    <row r="335">
      <c r="A335" s="21"/>
      <c r="B335" s="21"/>
      <c r="D335" s="21"/>
      <c r="F335" s="21"/>
      <c r="G335" s="21"/>
      <c r="I335" s="21"/>
      <c r="K335" s="21"/>
      <c r="M335" s="21"/>
      <c r="O335" s="21"/>
      <c r="Q335" s="21"/>
      <c r="S335" s="21"/>
      <c r="U335" s="21"/>
      <c r="W335" s="21"/>
      <c r="Y335" s="21"/>
      <c r="AA335" s="21"/>
      <c r="AC335" s="21"/>
      <c r="AE335" s="21"/>
      <c r="AG335" s="21"/>
      <c r="AI335" s="21"/>
      <c r="AK335" s="21"/>
      <c r="AM335" s="21"/>
      <c r="AN335" s="21"/>
    </row>
    <row r="336">
      <c r="A336" s="21"/>
      <c r="B336" s="21"/>
      <c r="D336" s="21"/>
      <c r="F336" s="21"/>
      <c r="G336" s="21"/>
      <c r="I336" s="21"/>
      <c r="K336" s="21"/>
      <c r="M336" s="21"/>
      <c r="O336" s="21"/>
      <c r="Q336" s="21"/>
      <c r="S336" s="21"/>
      <c r="U336" s="21"/>
      <c r="W336" s="21"/>
      <c r="Y336" s="21"/>
      <c r="AA336" s="21"/>
      <c r="AC336" s="21"/>
      <c r="AE336" s="21"/>
      <c r="AG336" s="21"/>
      <c r="AI336" s="21"/>
      <c r="AK336" s="21"/>
      <c r="AM336" s="21"/>
      <c r="AN336" s="21"/>
    </row>
    <row r="337">
      <c r="A337" s="21"/>
      <c r="B337" s="21"/>
      <c r="D337" s="21"/>
      <c r="F337" s="21"/>
      <c r="G337" s="21"/>
      <c r="I337" s="21"/>
      <c r="K337" s="21"/>
      <c r="M337" s="21"/>
      <c r="O337" s="21"/>
      <c r="Q337" s="21"/>
      <c r="S337" s="21"/>
      <c r="U337" s="21"/>
      <c r="W337" s="21"/>
      <c r="Y337" s="21"/>
      <c r="AA337" s="21"/>
      <c r="AC337" s="21"/>
      <c r="AE337" s="21"/>
      <c r="AG337" s="21"/>
      <c r="AI337" s="21"/>
      <c r="AK337" s="21"/>
      <c r="AM337" s="21"/>
      <c r="AN337" s="21"/>
    </row>
    <row r="338">
      <c r="A338" s="21"/>
      <c r="B338" s="21"/>
      <c r="D338" s="21"/>
      <c r="F338" s="21"/>
      <c r="G338" s="21"/>
      <c r="I338" s="21"/>
      <c r="K338" s="21"/>
      <c r="M338" s="21"/>
      <c r="O338" s="21"/>
      <c r="Q338" s="21"/>
      <c r="S338" s="21"/>
      <c r="U338" s="21"/>
      <c r="W338" s="21"/>
      <c r="Y338" s="21"/>
      <c r="AA338" s="21"/>
      <c r="AC338" s="21"/>
      <c r="AE338" s="21"/>
      <c r="AG338" s="21"/>
      <c r="AI338" s="21"/>
      <c r="AK338" s="21"/>
      <c r="AM338" s="21"/>
      <c r="AN338" s="21"/>
    </row>
    <row r="339">
      <c r="A339" s="21"/>
      <c r="B339" s="21"/>
      <c r="D339" s="21"/>
      <c r="F339" s="21"/>
      <c r="G339" s="21"/>
      <c r="I339" s="21"/>
      <c r="K339" s="21"/>
      <c r="M339" s="21"/>
      <c r="O339" s="21"/>
      <c r="Q339" s="21"/>
      <c r="S339" s="21"/>
      <c r="U339" s="21"/>
      <c r="W339" s="21"/>
      <c r="Y339" s="21"/>
      <c r="AA339" s="21"/>
      <c r="AC339" s="21"/>
      <c r="AE339" s="21"/>
      <c r="AG339" s="21"/>
      <c r="AI339" s="21"/>
      <c r="AK339" s="21"/>
      <c r="AM339" s="21"/>
      <c r="AN339" s="21"/>
    </row>
    <row r="340">
      <c r="A340" s="21"/>
      <c r="B340" s="21"/>
      <c r="D340" s="21"/>
      <c r="F340" s="21"/>
      <c r="G340" s="21"/>
      <c r="I340" s="21"/>
      <c r="K340" s="21"/>
      <c r="M340" s="21"/>
      <c r="O340" s="21"/>
      <c r="Q340" s="21"/>
      <c r="S340" s="21"/>
      <c r="U340" s="21"/>
      <c r="W340" s="21"/>
      <c r="Y340" s="21"/>
      <c r="AA340" s="21"/>
      <c r="AC340" s="21"/>
      <c r="AE340" s="21"/>
      <c r="AG340" s="21"/>
      <c r="AI340" s="21"/>
      <c r="AK340" s="21"/>
      <c r="AM340" s="21"/>
      <c r="AN340" s="21"/>
    </row>
    <row r="341">
      <c r="A341" s="21"/>
      <c r="B341" s="21"/>
      <c r="D341" s="21"/>
      <c r="F341" s="21"/>
      <c r="G341" s="21"/>
      <c r="I341" s="21"/>
      <c r="K341" s="21"/>
      <c r="M341" s="21"/>
      <c r="O341" s="21"/>
      <c r="Q341" s="21"/>
      <c r="S341" s="21"/>
      <c r="U341" s="21"/>
      <c r="W341" s="21"/>
      <c r="Y341" s="21"/>
      <c r="AA341" s="21"/>
      <c r="AC341" s="21"/>
      <c r="AE341" s="21"/>
      <c r="AG341" s="21"/>
      <c r="AI341" s="21"/>
      <c r="AK341" s="21"/>
      <c r="AM341" s="21"/>
      <c r="AN341" s="21"/>
    </row>
    <row r="342">
      <c r="A342" s="21"/>
      <c r="B342" s="21"/>
      <c r="D342" s="21"/>
      <c r="F342" s="21"/>
      <c r="G342" s="21"/>
      <c r="I342" s="21"/>
      <c r="K342" s="21"/>
      <c r="M342" s="21"/>
      <c r="O342" s="21"/>
      <c r="Q342" s="21"/>
      <c r="S342" s="21"/>
      <c r="U342" s="21"/>
      <c r="W342" s="21"/>
      <c r="Y342" s="21"/>
      <c r="AA342" s="21"/>
      <c r="AC342" s="21"/>
      <c r="AE342" s="21"/>
      <c r="AG342" s="21"/>
      <c r="AI342" s="21"/>
      <c r="AK342" s="21"/>
      <c r="AM342" s="21"/>
      <c r="AN342" s="21"/>
    </row>
    <row r="343">
      <c r="A343" s="21"/>
      <c r="B343" s="21"/>
      <c r="D343" s="21"/>
      <c r="F343" s="21"/>
      <c r="G343" s="21"/>
      <c r="I343" s="21"/>
      <c r="K343" s="21"/>
      <c r="M343" s="21"/>
      <c r="O343" s="21"/>
      <c r="Q343" s="21"/>
      <c r="S343" s="21"/>
      <c r="U343" s="21"/>
      <c r="W343" s="21"/>
      <c r="Y343" s="21"/>
      <c r="AA343" s="21"/>
      <c r="AC343" s="21"/>
      <c r="AE343" s="21"/>
      <c r="AG343" s="21"/>
      <c r="AI343" s="21"/>
      <c r="AK343" s="21"/>
      <c r="AM343" s="21"/>
      <c r="AN343" s="21"/>
    </row>
    <row r="344">
      <c r="A344" s="21"/>
      <c r="B344" s="21"/>
      <c r="D344" s="21"/>
      <c r="F344" s="21"/>
      <c r="G344" s="21"/>
      <c r="I344" s="21"/>
      <c r="K344" s="21"/>
      <c r="M344" s="21"/>
      <c r="O344" s="21"/>
      <c r="Q344" s="21"/>
      <c r="S344" s="21"/>
      <c r="U344" s="21"/>
      <c r="W344" s="21"/>
      <c r="Y344" s="21"/>
      <c r="AA344" s="21"/>
      <c r="AC344" s="21"/>
      <c r="AE344" s="21"/>
      <c r="AG344" s="21"/>
      <c r="AI344" s="21"/>
      <c r="AK344" s="21"/>
      <c r="AM344" s="21"/>
      <c r="AN344" s="21"/>
    </row>
    <row r="345">
      <c r="A345" s="21"/>
      <c r="B345" s="21"/>
      <c r="D345" s="21"/>
      <c r="F345" s="21"/>
      <c r="G345" s="21"/>
      <c r="I345" s="21"/>
      <c r="K345" s="21"/>
      <c r="M345" s="21"/>
      <c r="O345" s="21"/>
      <c r="Q345" s="21"/>
      <c r="S345" s="21"/>
      <c r="U345" s="21"/>
      <c r="W345" s="21"/>
      <c r="Y345" s="21"/>
      <c r="AA345" s="21"/>
      <c r="AC345" s="21"/>
      <c r="AE345" s="21"/>
      <c r="AG345" s="21"/>
      <c r="AI345" s="21"/>
      <c r="AK345" s="21"/>
      <c r="AM345" s="21"/>
      <c r="AN345" s="21"/>
    </row>
    <row r="346">
      <c r="A346" s="21"/>
      <c r="B346" s="21"/>
      <c r="D346" s="21"/>
      <c r="F346" s="21"/>
      <c r="G346" s="21"/>
      <c r="I346" s="21"/>
      <c r="K346" s="21"/>
      <c r="M346" s="21"/>
      <c r="O346" s="21"/>
      <c r="Q346" s="21"/>
      <c r="S346" s="21"/>
      <c r="U346" s="21"/>
      <c r="W346" s="21"/>
      <c r="Y346" s="21"/>
      <c r="AA346" s="21"/>
      <c r="AC346" s="21"/>
      <c r="AE346" s="21"/>
      <c r="AG346" s="21"/>
      <c r="AI346" s="21"/>
      <c r="AK346" s="21"/>
      <c r="AM346" s="21"/>
      <c r="AN346" s="21"/>
    </row>
    <row r="347">
      <c r="A347" s="21"/>
      <c r="B347" s="21"/>
      <c r="D347" s="21"/>
      <c r="F347" s="21"/>
      <c r="G347" s="21"/>
      <c r="I347" s="21"/>
      <c r="K347" s="21"/>
      <c r="M347" s="21"/>
      <c r="O347" s="21"/>
      <c r="Q347" s="21"/>
      <c r="S347" s="21"/>
      <c r="U347" s="21"/>
      <c r="W347" s="21"/>
      <c r="Y347" s="21"/>
      <c r="AA347" s="21"/>
      <c r="AC347" s="21"/>
      <c r="AE347" s="21"/>
      <c r="AG347" s="21"/>
      <c r="AI347" s="21"/>
      <c r="AK347" s="21"/>
      <c r="AM347" s="21"/>
      <c r="AN347" s="21"/>
    </row>
    <row r="348">
      <c r="A348" s="21"/>
      <c r="B348" s="21"/>
      <c r="D348" s="21"/>
      <c r="F348" s="21"/>
      <c r="G348" s="21"/>
      <c r="I348" s="21"/>
      <c r="K348" s="21"/>
      <c r="M348" s="21"/>
      <c r="O348" s="21"/>
      <c r="Q348" s="21"/>
      <c r="S348" s="21"/>
      <c r="U348" s="21"/>
      <c r="W348" s="21"/>
      <c r="Y348" s="21"/>
      <c r="AA348" s="21"/>
      <c r="AC348" s="21"/>
      <c r="AE348" s="21"/>
      <c r="AG348" s="21"/>
      <c r="AI348" s="21"/>
      <c r="AK348" s="21"/>
      <c r="AM348" s="21"/>
      <c r="AN348" s="21"/>
    </row>
    <row r="349">
      <c r="A349" s="21"/>
      <c r="B349" s="21"/>
      <c r="D349" s="21"/>
      <c r="F349" s="21"/>
      <c r="G349" s="21"/>
      <c r="I349" s="21"/>
      <c r="K349" s="21"/>
      <c r="M349" s="21"/>
      <c r="O349" s="21"/>
      <c r="Q349" s="21"/>
      <c r="S349" s="21"/>
      <c r="U349" s="21"/>
      <c r="W349" s="21"/>
      <c r="Y349" s="21"/>
      <c r="AA349" s="21"/>
      <c r="AC349" s="21"/>
      <c r="AE349" s="21"/>
      <c r="AG349" s="21"/>
      <c r="AI349" s="21"/>
      <c r="AK349" s="21"/>
      <c r="AM349" s="21"/>
      <c r="AN349" s="21"/>
    </row>
    <row r="350">
      <c r="A350" s="21"/>
      <c r="B350" s="21"/>
      <c r="D350" s="21"/>
      <c r="F350" s="21"/>
      <c r="G350" s="21"/>
      <c r="I350" s="21"/>
      <c r="K350" s="21"/>
      <c r="M350" s="21"/>
      <c r="O350" s="21"/>
      <c r="Q350" s="21"/>
      <c r="S350" s="21"/>
      <c r="U350" s="21"/>
      <c r="W350" s="21"/>
      <c r="Y350" s="21"/>
      <c r="AA350" s="21"/>
      <c r="AC350" s="21"/>
      <c r="AE350" s="21"/>
      <c r="AG350" s="21"/>
      <c r="AI350" s="21"/>
      <c r="AK350" s="21"/>
      <c r="AM350" s="21"/>
      <c r="AN350" s="21"/>
    </row>
    <row r="351">
      <c r="A351" s="21"/>
      <c r="B351" s="21"/>
      <c r="D351" s="21"/>
      <c r="F351" s="21"/>
      <c r="G351" s="21"/>
      <c r="I351" s="21"/>
      <c r="K351" s="21"/>
      <c r="M351" s="21"/>
      <c r="O351" s="21"/>
      <c r="Q351" s="21"/>
      <c r="S351" s="21"/>
      <c r="U351" s="21"/>
      <c r="W351" s="21"/>
      <c r="Y351" s="21"/>
      <c r="AA351" s="21"/>
      <c r="AC351" s="21"/>
      <c r="AE351" s="21"/>
      <c r="AG351" s="21"/>
      <c r="AI351" s="21"/>
      <c r="AK351" s="21"/>
      <c r="AM351" s="21"/>
      <c r="AN351" s="21"/>
    </row>
    <row r="352">
      <c r="A352" s="21"/>
      <c r="B352" s="21"/>
      <c r="D352" s="21"/>
      <c r="F352" s="21"/>
      <c r="G352" s="21"/>
      <c r="I352" s="21"/>
      <c r="K352" s="21"/>
      <c r="M352" s="21"/>
      <c r="O352" s="21"/>
      <c r="Q352" s="21"/>
      <c r="S352" s="21"/>
      <c r="U352" s="21"/>
      <c r="W352" s="21"/>
      <c r="Y352" s="21"/>
      <c r="AA352" s="21"/>
      <c r="AC352" s="21"/>
      <c r="AE352" s="21"/>
      <c r="AG352" s="21"/>
      <c r="AI352" s="21"/>
      <c r="AK352" s="21"/>
      <c r="AM352" s="21"/>
      <c r="AN352" s="21"/>
    </row>
    <row r="353">
      <c r="A353" s="21"/>
      <c r="B353" s="21"/>
      <c r="D353" s="21"/>
      <c r="F353" s="21"/>
      <c r="G353" s="21"/>
      <c r="I353" s="21"/>
      <c r="K353" s="21"/>
      <c r="M353" s="21"/>
      <c r="O353" s="21"/>
      <c r="Q353" s="21"/>
      <c r="S353" s="21"/>
      <c r="U353" s="21"/>
      <c r="W353" s="21"/>
      <c r="Y353" s="21"/>
      <c r="AA353" s="21"/>
      <c r="AC353" s="21"/>
      <c r="AE353" s="21"/>
      <c r="AG353" s="21"/>
      <c r="AI353" s="21"/>
      <c r="AK353" s="21"/>
      <c r="AM353" s="21"/>
      <c r="AN353" s="21"/>
    </row>
    <row r="354">
      <c r="A354" s="21"/>
      <c r="B354" s="21"/>
      <c r="D354" s="21"/>
      <c r="F354" s="21"/>
      <c r="G354" s="21"/>
      <c r="I354" s="21"/>
      <c r="K354" s="21"/>
      <c r="M354" s="21"/>
      <c r="O354" s="21"/>
      <c r="Q354" s="21"/>
      <c r="S354" s="21"/>
      <c r="U354" s="21"/>
      <c r="W354" s="21"/>
      <c r="Y354" s="21"/>
      <c r="AA354" s="21"/>
      <c r="AC354" s="21"/>
      <c r="AE354" s="21"/>
      <c r="AG354" s="21"/>
      <c r="AI354" s="21"/>
      <c r="AK354" s="21"/>
      <c r="AM354" s="21"/>
      <c r="AN354" s="21"/>
    </row>
    <row r="355">
      <c r="A355" s="21"/>
      <c r="B355" s="21"/>
      <c r="D355" s="21"/>
      <c r="F355" s="21"/>
      <c r="G355" s="21"/>
      <c r="I355" s="21"/>
      <c r="K355" s="21"/>
      <c r="M355" s="21"/>
      <c r="O355" s="21"/>
      <c r="Q355" s="21"/>
      <c r="S355" s="21"/>
      <c r="U355" s="21"/>
      <c r="W355" s="21"/>
      <c r="Y355" s="21"/>
      <c r="AA355" s="21"/>
      <c r="AC355" s="21"/>
      <c r="AE355" s="21"/>
      <c r="AG355" s="21"/>
      <c r="AI355" s="21"/>
      <c r="AK355" s="21"/>
      <c r="AM355" s="21"/>
      <c r="AN355" s="21"/>
    </row>
    <row r="356">
      <c r="A356" s="21"/>
      <c r="B356" s="21"/>
      <c r="D356" s="21"/>
      <c r="F356" s="21"/>
      <c r="G356" s="21"/>
      <c r="I356" s="21"/>
      <c r="K356" s="21"/>
      <c r="M356" s="21"/>
      <c r="O356" s="21"/>
      <c r="Q356" s="21"/>
      <c r="S356" s="21"/>
      <c r="U356" s="21"/>
      <c r="W356" s="21"/>
      <c r="Y356" s="21"/>
      <c r="AA356" s="21"/>
      <c r="AC356" s="21"/>
      <c r="AE356" s="21"/>
      <c r="AG356" s="21"/>
      <c r="AI356" s="21"/>
      <c r="AK356" s="21"/>
      <c r="AM356" s="21"/>
      <c r="AN356" s="21"/>
    </row>
    <row r="357">
      <c r="A357" s="21"/>
      <c r="B357" s="21"/>
      <c r="D357" s="21"/>
      <c r="F357" s="21"/>
      <c r="G357" s="21"/>
      <c r="I357" s="21"/>
      <c r="K357" s="21"/>
      <c r="M357" s="21"/>
      <c r="O357" s="21"/>
      <c r="Q357" s="21"/>
      <c r="S357" s="21"/>
      <c r="U357" s="21"/>
      <c r="W357" s="21"/>
      <c r="Y357" s="21"/>
      <c r="AA357" s="21"/>
      <c r="AC357" s="21"/>
      <c r="AE357" s="21"/>
      <c r="AG357" s="21"/>
      <c r="AI357" s="21"/>
      <c r="AK357" s="21"/>
      <c r="AM357" s="21"/>
      <c r="AN357" s="21"/>
    </row>
    <row r="358">
      <c r="A358" s="21"/>
      <c r="B358" s="21"/>
      <c r="D358" s="21"/>
      <c r="F358" s="21"/>
      <c r="G358" s="21"/>
      <c r="I358" s="21"/>
      <c r="K358" s="21"/>
      <c r="M358" s="21"/>
      <c r="O358" s="21"/>
      <c r="Q358" s="21"/>
      <c r="S358" s="21"/>
      <c r="U358" s="21"/>
      <c r="W358" s="21"/>
      <c r="Y358" s="21"/>
      <c r="AA358" s="21"/>
      <c r="AC358" s="21"/>
      <c r="AE358" s="21"/>
      <c r="AG358" s="21"/>
      <c r="AI358" s="21"/>
      <c r="AK358" s="21"/>
      <c r="AM358" s="21"/>
      <c r="AN358" s="21"/>
    </row>
    <row r="359">
      <c r="A359" s="21"/>
      <c r="B359" s="21"/>
      <c r="D359" s="21"/>
      <c r="F359" s="21"/>
      <c r="G359" s="21"/>
      <c r="I359" s="21"/>
      <c r="K359" s="21"/>
      <c r="M359" s="21"/>
      <c r="O359" s="21"/>
      <c r="Q359" s="21"/>
      <c r="S359" s="21"/>
      <c r="U359" s="21"/>
      <c r="W359" s="21"/>
      <c r="Y359" s="21"/>
      <c r="AA359" s="21"/>
      <c r="AC359" s="21"/>
      <c r="AE359" s="21"/>
      <c r="AG359" s="21"/>
      <c r="AI359" s="21"/>
      <c r="AK359" s="21"/>
      <c r="AM359" s="21"/>
      <c r="AN359" s="21"/>
    </row>
    <row r="360">
      <c r="A360" s="21"/>
      <c r="B360" s="21"/>
      <c r="D360" s="21"/>
      <c r="F360" s="21"/>
      <c r="G360" s="21"/>
      <c r="I360" s="21"/>
      <c r="K360" s="21"/>
      <c r="M360" s="21"/>
      <c r="O360" s="21"/>
      <c r="Q360" s="21"/>
      <c r="S360" s="21"/>
      <c r="U360" s="21"/>
      <c r="W360" s="21"/>
      <c r="Y360" s="21"/>
      <c r="AA360" s="21"/>
      <c r="AC360" s="21"/>
      <c r="AE360" s="21"/>
      <c r="AG360" s="21"/>
      <c r="AI360" s="21"/>
      <c r="AK360" s="21"/>
      <c r="AM360" s="21"/>
      <c r="AN360" s="21"/>
    </row>
    <row r="361">
      <c r="A361" s="21"/>
      <c r="B361" s="21"/>
      <c r="D361" s="21"/>
      <c r="F361" s="21"/>
      <c r="G361" s="21"/>
      <c r="I361" s="21"/>
      <c r="K361" s="21"/>
      <c r="M361" s="21"/>
      <c r="O361" s="21"/>
      <c r="Q361" s="21"/>
      <c r="S361" s="21"/>
      <c r="U361" s="21"/>
      <c r="W361" s="21"/>
      <c r="Y361" s="21"/>
      <c r="AA361" s="21"/>
      <c r="AC361" s="21"/>
      <c r="AE361" s="21"/>
      <c r="AG361" s="21"/>
      <c r="AI361" s="21"/>
      <c r="AK361" s="21"/>
      <c r="AM361" s="21"/>
      <c r="AN361" s="21"/>
    </row>
    <row r="362">
      <c r="A362" s="21"/>
      <c r="B362" s="21"/>
      <c r="D362" s="21"/>
      <c r="F362" s="21"/>
      <c r="G362" s="21"/>
      <c r="I362" s="21"/>
      <c r="K362" s="21"/>
      <c r="M362" s="21"/>
      <c r="O362" s="21"/>
      <c r="Q362" s="21"/>
      <c r="S362" s="21"/>
      <c r="U362" s="21"/>
      <c r="W362" s="21"/>
      <c r="Y362" s="21"/>
      <c r="AA362" s="21"/>
      <c r="AC362" s="21"/>
      <c r="AE362" s="21"/>
      <c r="AG362" s="21"/>
      <c r="AI362" s="21"/>
      <c r="AK362" s="21"/>
      <c r="AM362" s="21"/>
      <c r="AN362" s="21"/>
    </row>
    <row r="363">
      <c r="A363" s="21"/>
      <c r="B363" s="21"/>
      <c r="D363" s="21"/>
      <c r="F363" s="21"/>
      <c r="G363" s="21"/>
      <c r="I363" s="21"/>
      <c r="K363" s="21"/>
      <c r="M363" s="21"/>
      <c r="O363" s="21"/>
      <c r="Q363" s="21"/>
      <c r="S363" s="21"/>
      <c r="U363" s="21"/>
      <c r="W363" s="21"/>
      <c r="Y363" s="21"/>
      <c r="AA363" s="21"/>
      <c r="AC363" s="21"/>
      <c r="AE363" s="21"/>
      <c r="AG363" s="21"/>
      <c r="AI363" s="21"/>
      <c r="AK363" s="21"/>
      <c r="AM363" s="21"/>
      <c r="AN363" s="21"/>
    </row>
    <row r="364">
      <c r="A364" s="21"/>
      <c r="B364" s="21"/>
      <c r="D364" s="21"/>
      <c r="F364" s="21"/>
      <c r="G364" s="21"/>
      <c r="I364" s="21"/>
      <c r="K364" s="21"/>
      <c r="M364" s="21"/>
      <c r="O364" s="21"/>
      <c r="Q364" s="21"/>
      <c r="S364" s="21"/>
      <c r="U364" s="21"/>
      <c r="W364" s="21"/>
      <c r="Y364" s="21"/>
      <c r="AA364" s="21"/>
      <c r="AC364" s="21"/>
      <c r="AE364" s="21"/>
      <c r="AG364" s="21"/>
      <c r="AI364" s="21"/>
      <c r="AK364" s="21"/>
      <c r="AM364" s="21"/>
      <c r="AN364" s="21"/>
    </row>
    <row r="365">
      <c r="A365" s="21"/>
      <c r="B365" s="21"/>
      <c r="D365" s="21"/>
      <c r="F365" s="21"/>
      <c r="G365" s="21"/>
      <c r="I365" s="21"/>
      <c r="K365" s="21"/>
      <c r="M365" s="21"/>
      <c r="O365" s="21"/>
      <c r="Q365" s="21"/>
      <c r="S365" s="21"/>
      <c r="U365" s="21"/>
      <c r="W365" s="21"/>
      <c r="Y365" s="21"/>
      <c r="AA365" s="21"/>
      <c r="AC365" s="21"/>
      <c r="AE365" s="21"/>
      <c r="AG365" s="21"/>
      <c r="AI365" s="21"/>
      <c r="AK365" s="21"/>
      <c r="AM365" s="21"/>
      <c r="AN365" s="21"/>
    </row>
    <row r="366">
      <c r="A366" s="21"/>
      <c r="B366" s="21"/>
      <c r="D366" s="21"/>
      <c r="F366" s="21"/>
      <c r="G366" s="21"/>
      <c r="I366" s="21"/>
      <c r="K366" s="21"/>
      <c r="M366" s="21"/>
      <c r="O366" s="21"/>
      <c r="Q366" s="21"/>
      <c r="S366" s="21"/>
      <c r="U366" s="21"/>
      <c r="W366" s="21"/>
      <c r="Y366" s="21"/>
      <c r="AA366" s="21"/>
      <c r="AC366" s="21"/>
      <c r="AE366" s="21"/>
      <c r="AG366" s="21"/>
      <c r="AI366" s="21"/>
      <c r="AK366" s="21"/>
      <c r="AM366" s="21"/>
      <c r="AN366" s="21"/>
    </row>
    <row r="367">
      <c r="A367" s="21"/>
      <c r="B367" s="21"/>
      <c r="D367" s="21"/>
      <c r="F367" s="21"/>
      <c r="G367" s="21"/>
      <c r="I367" s="21"/>
      <c r="K367" s="21"/>
      <c r="M367" s="21"/>
      <c r="O367" s="21"/>
      <c r="Q367" s="21"/>
      <c r="S367" s="21"/>
      <c r="U367" s="21"/>
      <c r="W367" s="21"/>
      <c r="Y367" s="21"/>
      <c r="AA367" s="21"/>
      <c r="AC367" s="21"/>
      <c r="AE367" s="21"/>
      <c r="AG367" s="21"/>
      <c r="AI367" s="21"/>
      <c r="AK367" s="21"/>
      <c r="AM367" s="21"/>
      <c r="AN367" s="21"/>
    </row>
    <row r="368">
      <c r="A368" s="21"/>
      <c r="B368" s="21"/>
      <c r="D368" s="21"/>
      <c r="F368" s="21"/>
      <c r="G368" s="21"/>
      <c r="I368" s="21"/>
      <c r="K368" s="21"/>
      <c r="M368" s="21"/>
      <c r="O368" s="21"/>
      <c r="Q368" s="21"/>
      <c r="S368" s="21"/>
      <c r="U368" s="21"/>
      <c r="W368" s="21"/>
      <c r="Y368" s="21"/>
      <c r="AA368" s="21"/>
      <c r="AC368" s="21"/>
      <c r="AE368" s="21"/>
      <c r="AG368" s="21"/>
      <c r="AI368" s="21"/>
      <c r="AK368" s="21"/>
      <c r="AM368" s="21"/>
      <c r="AN368" s="21"/>
    </row>
    <row r="369">
      <c r="A369" s="21"/>
      <c r="B369" s="21"/>
      <c r="D369" s="21"/>
      <c r="F369" s="21"/>
      <c r="G369" s="21"/>
      <c r="I369" s="21"/>
      <c r="K369" s="21"/>
      <c r="M369" s="21"/>
      <c r="O369" s="21"/>
      <c r="Q369" s="21"/>
      <c r="S369" s="21"/>
      <c r="U369" s="21"/>
      <c r="W369" s="21"/>
      <c r="Y369" s="21"/>
      <c r="AA369" s="21"/>
      <c r="AC369" s="21"/>
      <c r="AE369" s="21"/>
      <c r="AG369" s="21"/>
      <c r="AI369" s="21"/>
      <c r="AK369" s="21"/>
      <c r="AM369" s="21"/>
      <c r="AN369" s="21"/>
    </row>
    <row r="370">
      <c r="A370" s="21"/>
      <c r="B370" s="21"/>
      <c r="D370" s="21"/>
      <c r="F370" s="21"/>
      <c r="G370" s="21"/>
      <c r="I370" s="21"/>
      <c r="K370" s="21"/>
      <c r="M370" s="21"/>
      <c r="O370" s="21"/>
      <c r="Q370" s="21"/>
      <c r="S370" s="21"/>
      <c r="U370" s="21"/>
      <c r="W370" s="21"/>
      <c r="Y370" s="21"/>
      <c r="AA370" s="21"/>
      <c r="AC370" s="21"/>
      <c r="AE370" s="21"/>
      <c r="AG370" s="21"/>
      <c r="AI370" s="21"/>
      <c r="AK370" s="21"/>
      <c r="AM370" s="21"/>
      <c r="AN370" s="21"/>
    </row>
    <row r="371">
      <c r="A371" s="21"/>
      <c r="B371" s="21"/>
      <c r="D371" s="21"/>
      <c r="F371" s="21"/>
      <c r="G371" s="21"/>
      <c r="I371" s="21"/>
      <c r="K371" s="21"/>
      <c r="M371" s="21"/>
      <c r="O371" s="21"/>
      <c r="Q371" s="21"/>
      <c r="S371" s="21"/>
      <c r="U371" s="21"/>
      <c r="W371" s="21"/>
      <c r="Y371" s="21"/>
      <c r="AA371" s="21"/>
      <c r="AC371" s="21"/>
      <c r="AE371" s="21"/>
      <c r="AG371" s="21"/>
      <c r="AI371" s="21"/>
      <c r="AK371" s="21"/>
      <c r="AM371" s="21"/>
      <c r="AN371" s="21"/>
    </row>
    <row r="372">
      <c r="A372" s="21"/>
      <c r="B372" s="21"/>
      <c r="D372" s="21"/>
      <c r="F372" s="21"/>
      <c r="G372" s="21"/>
      <c r="I372" s="21"/>
      <c r="K372" s="21"/>
      <c r="M372" s="21"/>
      <c r="O372" s="21"/>
      <c r="Q372" s="21"/>
      <c r="S372" s="21"/>
      <c r="U372" s="21"/>
      <c r="W372" s="21"/>
      <c r="Y372" s="21"/>
      <c r="AA372" s="21"/>
      <c r="AC372" s="21"/>
      <c r="AE372" s="21"/>
      <c r="AG372" s="21"/>
      <c r="AI372" s="21"/>
      <c r="AK372" s="21"/>
      <c r="AM372" s="21"/>
      <c r="AN372" s="21"/>
    </row>
    <row r="373">
      <c r="A373" s="21"/>
      <c r="B373" s="21"/>
      <c r="D373" s="21"/>
      <c r="F373" s="21"/>
      <c r="G373" s="21"/>
      <c r="I373" s="21"/>
      <c r="K373" s="21"/>
      <c r="M373" s="21"/>
      <c r="O373" s="21"/>
      <c r="Q373" s="21"/>
      <c r="S373" s="21"/>
      <c r="U373" s="21"/>
      <c r="W373" s="21"/>
      <c r="Y373" s="21"/>
      <c r="AA373" s="21"/>
      <c r="AC373" s="21"/>
      <c r="AE373" s="21"/>
      <c r="AG373" s="21"/>
      <c r="AI373" s="21"/>
      <c r="AK373" s="21"/>
      <c r="AM373" s="21"/>
      <c r="AN373" s="21"/>
    </row>
    <row r="374">
      <c r="A374" s="21"/>
      <c r="B374" s="21"/>
      <c r="D374" s="21"/>
      <c r="F374" s="21"/>
      <c r="G374" s="21"/>
      <c r="I374" s="21"/>
      <c r="K374" s="21"/>
      <c r="M374" s="21"/>
      <c r="O374" s="21"/>
      <c r="Q374" s="21"/>
      <c r="S374" s="21"/>
      <c r="U374" s="21"/>
      <c r="W374" s="21"/>
      <c r="Y374" s="21"/>
      <c r="AA374" s="21"/>
      <c r="AC374" s="21"/>
      <c r="AE374" s="21"/>
      <c r="AG374" s="21"/>
      <c r="AI374" s="21"/>
      <c r="AK374" s="21"/>
      <c r="AM374" s="21"/>
      <c r="AN374" s="21"/>
    </row>
    <row r="375">
      <c r="A375" s="21"/>
      <c r="B375" s="21"/>
      <c r="D375" s="21"/>
      <c r="F375" s="21"/>
      <c r="G375" s="21"/>
      <c r="I375" s="21"/>
      <c r="K375" s="21"/>
      <c r="M375" s="21"/>
      <c r="O375" s="21"/>
      <c r="Q375" s="21"/>
      <c r="S375" s="21"/>
      <c r="U375" s="21"/>
      <c r="W375" s="21"/>
      <c r="Y375" s="21"/>
      <c r="AA375" s="21"/>
      <c r="AC375" s="21"/>
      <c r="AE375" s="21"/>
      <c r="AG375" s="21"/>
      <c r="AI375" s="21"/>
      <c r="AK375" s="21"/>
      <c r="AM375" s="21"/>
      <c r="AN375" s="21"/>
    </row>
    <row r="376">
      <c r="A376" s="21"/>
      <c r="B376" s="21"/>
      <c r="D376" s="21"/>
      <c r="F376" s="21"/>
      <c r="G376" s="21"/>
      <c r="I376" s="21"/>
      <c r="K376" s="21"/>
      <c r="M376" s="21"/>
      <c r="O376" s="21"/>
      <c r="Q376" s="21"/>
      <c r="S376" s="21"/>
      <c r="U376" s="21"/>
      <c r="W376" s="21"/>
      <c r="Y376" s="21"/>
      <c r="AA376" s="21"/>
      <c r="AC376" s="21"/>
      <c r="AE376" s="21"/>
      <c r="AG376" s="21"/>
      <c r="AI376" s="21"/>
      <c r="AK376" s="21"/>
      <c r="AM376" s="21"/>
      <c r="AN376" s="21"/>
    </row>
    <row r="377">
      <c r="A377" s="21"/>
      <c r="B377" s="21"/>
      <c r="D377" s="21"/>
      <c r="F377" s="21"/>
      <c r="G377" s="21"/>
      <c r="I377" s="21"/>
      <c r="K377" s="21"/>
      <c r="M377" s="21"/>
      <c r="O377" s="21"/>
      <c r="Q377" s="21"/>
      <c r="S377" s="21"/>
      <c r="U377" s="21"/>
      <c r="W377" s="21"/>
      <c r="Y377" s="21"/>
      <c r="AA377" s="21"/>
      <c r="AC377" s="21"/>
      <c r="AE377" s="21"/>
      <c r="AG377" s="21"/>
      <c r="AI377" s="21"/>
      <c r="AK377" s="21"/>
      <c r="AM377" s="21"/>
      <c r="AN377" s="21"/>
    </row>
    <row r="378">
      <c r="A378" s="21"/>
      <c r="B378" s="21"/>
      <c r="D378" s="21"/>
      <c r="F378" s="21"/>
      <c r="G378" s="21"/>
      <c r="I378" s="21"/>
      <c r="K378" s="21"/>
      <c r="M378" s="21"/>
      <c r="O378" s="21"/>
      <c r="Q378" s="21"/>
      <c r="S378" s="21"/>
      <c r="U378" s="21"/>
      <c r="W378" s="21"/>
      <c r="Y378" s="21"/>
      <c r="AA378" s="21"/>
      <c r="AC378" s="21"/>
      <c r="AE378" s="21"/>
      <c r="AG378" s="21"/>
      <c r="AI378" s="21"/>
      <c r="AK378" s="21"/>
      <c r="AM378" s="21"/>
      <c r="AN378" s="21"/>
    </row>
    <row r="379">
      <c r="A379" s="21"/>
      <c r="B379" s="21"/>
      <c r="D379" s="21"/>
      <c r="F379" s="21"/>
      <c r="G379" s="21"/>
      <c r="I379" s="21"/>
      <c r="K379" s="21"/>
      <c r="M379" s="21"/>
      <c r="O379" s="21"/>
      <c r="Q379" s="21"/>
      <c r="S379" s="21"/>
      <c r="U379" s="21"/>
      <c r="W379" s="21"/>
      <c r="Y379" s="21"/>
      <c r="AA379" s="21"/>
      <c r="AC379" s="21"/>
      <c r="AE379" s="21"/>
      <c r="AG379" s="21"/>
      <c r="AI379" s="21"/>
      <c r="AK379" s="21"/>
      <c r="AM379" s="21"/>
      <c r="AN379" s="21"/>
    </row>
    <row r="380">
      <c r="A380" s="21"/>
      <c r="B380" s="21"/>
      <c r="D380" s="21"/>
      <c r="F380" s="21"/>
      <c r="G380" s="21"/>
      <c r="I380" s="21"/>
      <c r="K380" s="21"/>
      <c r="M380" s="21"/>
      <c r="O380" s="21"/>
      <c r="Q380" s="21"/>
      <c r="S380" s="21"/>
      <c r="U380" s="21"/>
      <c r="W380" s="21"/>
      <c r="Y380" s="21"/>
      <c r="AA380" s="21"/>
      <c r="AC380" s="21"/>
      <c r="AE380" s="21"/>
      <c r="AG380" s="21"/>
      <c r="AI380" s="21"/>
      <c r="AK380" s="21"/>
      <c r="AM380" s="21"/>
      <c r="AN380" s="21"/>
    </row>
    <row r="381">
      <c r="A381" s="21"/>
      <c r="B381" s="21"/>
      <c r="D381" s="21"/>
      <c r="F381" s="21"/>
      <c r="G381" s="21"/>
      <c r="I381" s="21"/>
      <c r="K381" s="21"/>
      <c r="M381" s="21"/>
      <c r="O381" s="21"/>
      <c r="Q381" s="21"/>
      <c r="S381" s="21"/>
      <c r="U381" s="21"/>
      <c r="W381" s="21"/>
      <c r="Y381" s="21"/>
      <c r="AA381" s="21"/>
      <c r="AC381" s="21"/>
      <c r="AE381" s="21"/>
      <c r="AG381" s="21"/>
      <c r="AI381" s="21"/>
      <c r="AK381" s="21"/>
      <c r="AM381" s="21"/>
      <c r="AN381" s="21"/>
    </row>
    <row r="382">
      <c r="A382" s="21"/>
      <c r="B382" s="21"/>
      <c r="D382" s="21"/>
      <c r="F382" s="21"/>
      <c r="G382" s="21"/>
      <c r="I382" s="21"/>
      <c r="K382" s="21"/>
      <c r="M382" s="21"/>
      <c r="O382" s="21"/>
      <c r="Q382" s="21"/>
      <c r="S382" s="21"/>
      <c r="U382" s="21"/>
      <c r="W382" s="21"/>
      <c r="Y382" s="21"/>
      <c r="AA382" s="21"/>
      <c r="AC382" s="21"/>
      <c r="AE382" s="21"/>
      <c r="AG382" s="21"/>
      <c r="AI382" s="21"/>
      <c r="AK382" s="21"/>
      <c r="AM382" s="21"/>
      <c r="AN382" s="21"/>
    </row>
    <row r="383">
      <c r="A383" s="21"/>
      <c r="B383" s="21"/>
      <c r="D383" s="21"/>
      <c r="F383" s="21"/>
      <c r="G383" s="21"/>
      <c r="I383" s="21"/>
      <c r="K383" s="21"/>
      <c r="M383" s="21"/>
      <c r="O383" s="21"/>
      <c r="Q383" s="21"/>
      <c r="S383" s="21"/>
      <c r="U383" s="21"/>
      <c r="W383" s="21"/>
      <c r="Y383" s="21"/>
      <c r="AA383" s="21"/>
      <c r="AC383" s="21"/>
      <c r="AE383" s="21"/>
      <c r="AG383" s="21"/>
      <c r="AI383" s="21"/>
      <c r="AK383" s="21"/>
      <c r="AM383" s="21"/>
      <c r="AN383" s="21"/>
    </row>
    <row r="384">
      <c r="A384" s="21"/>
      <c r="B384" s="21"/>
      <c r="D384" s="21"/>
      <c r="F384" s="21"/>
      <c r="G384" s="21"/>
      <c r="I384" s="21"/>
      <c r="K384" s="21"/>
      <c r="M384" s="21"/>
      <c r="O384" s="21"/>
      <c r="Q384" s="21"/>
      <c r="S384" s="21"/>
      <c r="U384" s="21"/>
      <c r="W384" s="21"/>
      <c r="Y384" s="21"/>
      <c r="AA384" s="21"/>
      <c r="AC384" s="21"/>
      <c r="AE384" s="21"/>
      <c r="AG384" s="21"/>
      <c r="AI384" s="21"/>
      <c r="AK384" s="21"/>
      <c r="AM384" s="21"/>
      <c r="AN384" s="21"/>
    </row>
    <row r="385">
      <c r="A385" s="21"/>
      <c r="B385" s="21"/>
      <c r="D385" s="21"/>
      <c r="F385" s="21"/>
      <c r="G385" s="21"/>
      <c r="I385" s="21"/>
      <c r="K385" s="21"/>
      <c r="M385" s="21"/>
      <c r="O385" s="21"/>
      <c r="Q385" s="21"/>
      <c r="S385" s="21"/>
      <c r="U385" s="21"/>
      <c r="W385" s="21"/>
      <c r="Y385" s="21"/>
      <c r="AA385" s="21"/>
      <c r="AC385" s="21"/>
      <c r="AE385" s="21"/>
      <c r="AG385" s="21"/>
      <c r="AI385" s="21"/>
      <c r="AK385" s="21"/>
      <c r="AM385" s="21"/>
      <c r="AN385" s="21"/>
    </row>
    <row r="386">
      <c r="A386" s="21"/>
      <c r="B386" s="21"/>
      <c r="D386" s="21"/>
      <c r="F386" s="21"/>
      <c r="G386" s="21"/>
      <c r="I386" s="21"/>
      <c r="K386" s="21"/>
      <c r="M386" s="21"/>
      <c r="O386" s="21"/>
      <c r="Q386" s="21"/>
      <c r="S386" s="21"/>
      <c r="U386" s="21"/>
      <c r="W386" s="21"/>
      <c r="Y386" s="21"/>
      <c r="AA386" s="21"/>
      <c r="AC386" s="21"/>
      <c r="AE386" s="21"/>
      <c r="AG386" s="21"/>
      <c r="AI386" s="21"/>
      <c r="AK386" s="21"/>
      <c r="AM386" s="21"/>
      <c r="AN386" s="21"/>
    </row>
    <row r="387">
      <c r="A387" s="21"/>
      <c r="B387" s="21"/>
      <c r="D387" s="21"/>
      <c r="F387" s="21"/>
      <c r="G387" s="21"/>
      <c r="I387" s="21"/>
      <c r="K387" s="21"/>
      <c r="M387" s="21"/>
      <c r="O387" s="21"/>
      <c r="Q387" s="21"/>
      <c r="S387" s="21"/>
      <c r="U387" s="21"/>
      <c r="W387" s="21"/>
      <c r="Y387" s="21"/>
      <c r="AA387" s="21"/>
      <c r="AC387" s="21"/>
      <c r="AE387" s="21"/>
      <c r="AG387" s="21"/>
      <c r="AI387" s="21"/>
      <c r="AK387" s="21"/>
      <c r="AM387" s="21"/>
      <c r="AN387" s="21"/>
    </row>
    <row r="388">
      <c r="A388" s="21"/>
      <c r="B388" s="21"/>
      <c r="D388" s="21"/>
      <c r="F388" s="21"/>
      <c r="G388" s="21"/>
      <c r="I388" s="21"/>
      <c r="K388" s="21"/>
      <c r="M388" s="21"/>
      <c r="O388" s="21"/>
      <c r="Q388" s="21"/>
      <c r="S388" s="21"/>
      <c r="U388" s="21"/>
      <c r="W388" s="21"/>
      <c r="Y388" s="21"/>
      <c r="AA388" s="21"/>
      <c r="AC388" s="21"/>
      <c r="AE388" s="21"/>
      <c r="AG388" s="21"/>
      <c r="AI388" s="21"/>
      <c r="AK388" s="21"/>
      <c r="AM388" s="21"/>
      <c r="AN388" s="21"/>
    </row>
    <row r="389">
      <c r="A389" s="21"/>
      <c r="B389" s="21"/>
      <c r="D389" s="21"/>
      <c r="F389" s="21"/>
      <c r="G389" s="21"/>
      <c r="I389" s="21"/>
      <c r="K389" s="21"/>
      <c r="M389" s="21"/>
      <c r="O389" s="21"/>
      <c r="Q389" s="21"/>
      <c r="S389" s="21"/>
      <c r="U389" s="21"/>
      <c r="W389" s="21"/>
      <c r="Y389" s="21"/>
      <c r="AA389" s="21"/>
      <c r="AC389" s="21"/>
      <c r="AE389" s="21"/>
      <c r="AG389" s="21"/>
      <c r="AI389" s="21"/>
      <c r="AK389" s="21"/>
      <c r="AM389" s="21"/>
      <c r="AN389" s="21"/>
    </row>
    <row r="390">
      <c r="A390" s="21"/>
      <c r="B390" s="21"/>
      <c r="D390" s="21"/>
      <c r="F390" s="21"/>
      <c r="G390" s="21"/>
      <c r="I390" s="21"/>
      <c r="K390" s="21"/>
      <c r="M390" s="21"/>
      <c r="O390" s="21"/>
      <c r="Q390" s="21"/>
      <c r="S390" s="21"/>
      <c r="U390" s="21"/>
      <c r="W390" s="21"/>
      <c r="Y390" s="21"/>
      <c r="AA390" s="21"/>
      <c r="AC390" s="21"/>
      <c r="AE390" s="21"/>
      <c r="AG390" s="21"/>
      <c r="AI390" s="21"/>
      <c r="AK390" s="21"/>
      <c r="AM390" s="21"/>
      <c r="AN390" s="21"/>
    </row>
    <row r="391">
      <c r="A391" s="21"/>
      <c r="B391" s="21"/>
      <c r="D391" s="21"/>
      <c r="F391" s="21"/>
      <c r="G391" s="21"/>
      <c r="I391" s="21"/>
      <c r="K391" s="21"/>
      <c r="M391" s="21"/>
      <c r="O391" s="21"/>
      <c r="Q391" s="21"/>
      <c r="S391" s="21"/>
      <c r="U391" s="21"/>
      <c r="W391" s="21"/>
      <c r="Y391" s="21"/>
      <c r="AA391" s="21"/>
      <c r="AC391" s="21"/>
      <c r="AE391" s="21"/>
      <c r="AG391" s="21"/>
      <c r="AI391" s="21"/>
      <c r="AK391" s="21"/>
      <c r="AM391" s="21"/>
      <c r="AN391" s="21"/>
    </row>
    <row r="392">
      <c r="A392" s="21"/>
      <c r="B392" s="21"/>
      <c r="D392" s="21"/>
      <c r="F392" s="21"/>
      <c r="G392" s="21"/>
      <c r="I392" s="21"/>
      <c r="K392" s="21"/>
      <c r="M392" s="21"/>
      <c r="O392" s="21"/>
      <c r="Q392" s="21"/>
      <c r="S392" s="21"/>
      <c r="U392" s="21"/>
      <c r="W392" s="21"/>
      <c r="Y392" s="21"/>
      <c r="AA392" s="21"/>
      <c r="AC392" s="21"/>
      <c r="AE392" s="21"/>
      <c r="AG392" s="21"/>
      <c r="AI392" s="21"/>
      <c r="AK392" s="21"/>
      <c r="AM392" s="21"/>
      <c r="AN392" s="21"/>
    </row>
    <row r="393">
      <c r="A393" s="21"/>
      <c r="B393" s="21"/>
      <c r="D393" s="21"/>
      <c r="F393" s="21"/>
      <c r="G393" s="21"/>
      <c r="I393" s="21"/>
      <c r="K393" s="21"/>
      <c r="M393" s="21"/>
      <c r="O393" s="21"/>
      <c r="Q393" s="21"/>
      <c r="S393" s="21"/>
      <c r="U393" s="21"/>
      <c r="W393" s="21"/>
      <c r="Y393" s="21"/>
      <c r="AA393" s="21"/>
      <c r="AC393" s="21"/>
      <c r="AE393" s="21"/>
      <c r="AG393" s="21"/>
      <c r="AI393" s="21"/>
      <c r="AK393" s="21"/>
      <c r="AM393" s="21"/>
      <c r="AN393" s="21"/>
    </row>
    <row r="394">
      <c r="A394" s="21"/>
      <c r="B394" s="21"/>
      <c r="D394" s="21"/>
      <c r="F394" s="21"/>
      <c r="G394" s="21"/>
      <c r="I394" s="21"/>
      <c r="K394" s="21"/>
      <c r="M394" s="21"/>
      <c r="O394" s="21"/>
      <c r="Q394" s="21"/>
      <c r="S394" s="21"/>
      <c r="U394" s="21"/>
      <c r="W394" s="21"/>
      <c r="Y394" s="21"/>
      <c r="AA394" s="21"/>
      <c r="AC394" s="21"/>
      <c r="AE394" s="21"/>
      <c r="AG394" s="21"/>
      <c r="AI394" s="21"/>
      <c r="AK394" s="21"/>
      <c r="AM394" s="21"/>
      <c r="AN394" s="21"/>
    </row>
    <row r="395">
      <c r="A395" s="21"/>
      <c r="B395" s="21"/>
      <c r="D395" s="21"/>
      <c r="F395" s="21"/>
      <c r="G395" s="21"/>
      <c r="I395" s="21"/>
      <c r="K395" s="21"/>
      <c r="M395" s="21"/>
      <c r="O395" s="21"/>
      <c r="Q395" s="21"/>
      <c r="S395" s="21"/>
      <c r="U395" s="21"/>
      <c r="W395" s="21"/>
      <c r="Y395" s="21"/>
      <c r="AA395" s="21"/>
      <c r="AC395" s="21"/>
      <c r="AE395" s="21"/>
      <c r="AG395" s="21"/>
      <c r="AI395" s="21"/>
      <c r="AK395" s="21"/>
      <c r="AM395" s="21"/>
      <c r="AN395" s="21"/>
    </row>
    <row r="396">
      <c r="A396" s="21"/>
      <c r="B396" s="21"/>
      <c r="D396" s="21"/>
      <c r="F396" s="21"/>
      <c r="G396" s="21"/>
      <c r="I396" s="21"/>
      <c r="K396" s="21"/>
      <c r="M396" s="21"/>
      <c r="O396" s="21"/>
      <c r="Q396" s="21"/>
      <c r="S396" s="21"/>
      <c r="U396" s="21"/>
      <c r="W396" s="21"/>
      <c r="Y396" s="21"/>
      <c r="AA396" s="21"/>
      <c r="AC396" s="21"/>
      <c r="AE396" s="21"/>
      <c r="AG396" s="21"/>
      <c r="AI396" s="21"/>
      <c r="AK396" s="21"/>
      <c r="AM396" s="21"/>
      <c r="AN396" s="21"/>
    </row>
    <row r="397">
      <c r="A397" s="21"/>
      <c r="B397" s="21"/>
      <c r="D397" s="21"/>
      <c r="F397" s="21"/>
      <c r="G397" s="21"/>
      <c r="I397" s="21"/>
      <c r="K397" s="21"/>
      <c r="M397" s="21"/>
      <c r="O397" s="21"/>
      <c r="Q397" s="21"/>
      <c r="S397" s="21"/>
      <c r="U397" s="21"/>
      <c r="W397" s="21"/>
      <c r="Y397" s="21"/>
      <c r="AA397" s="21"/>
      <c r="AC397" s="21"/>
      <c r="AE397" s="21"/>
      <c r="AG397" s="21"/>
      <c r="AI397" s="21"/>
      <c r="AK397" s="21"/>
      <c r="AM397" s="21"/>
      <c r="AN397" s="21"/>
    </row>
    <row r="398">
      <c r="A398" s="21"/>
      <c r="B398" s="21"/>
      <c r="D398" s="21"/>
      <c r="F398" s="21"/>
      <c r="G398" s="21"/>
      <c r="I398" s="21"/>
      <c r="K398" s="21"/>
      <c r="M398" s="21"/>
      <c r="O398" s="21"/>
      <c r="Q398" s="21"/>
      <c r="S398" s="21"/>
      <c r="U398" s="21"/>
      <c r="W398" s="21"/>
      <c r="Y398" s="21"/>
      <c r="AA398" s="21"/>
      <c r="AC398" s="21"/>
      <c r="AE398" s="21"/>
      <c r="AG398" s="21"/>
      <c r="AI398" s="21"/>
      <c r="AK398" s="21"/>
      <c r="AM398" s="21"/>
      <c r="AN398" s="21"/>
    </row>
    <row r="399">
      <c r="A399" s="21"/>
      <c r="B399" s="21"/>
      <c r="D399" s="21"/>
      <c r="F399" s="21"/>
      <c r="G399" s="21"/>
      <c r="I399" s="21"/>
      <c r="K399" s="21"/>
      <c r="M399" s="21"/>
      <c r="O399" s="21"/>
      <c r="Q399" s="21"/>
      <c r="S399" s="21"/>
      <c r="U399" s="21"/>
      <c r="W399" s="21"/>
      <c r="Y399" s="21"/>
      <c r="AA399" s="21"/>
      <c r="AC399" s="21"/>
      <c r="AE399" s="21"/>
      <c r="AG399" s="21"/>
      <c r="AI399" s="21"/>
      <c r="AK399" s="21"/>
      <c r="AM399" s="21"/>
      <c r="AN399" s="21"/>
    </row>
    <row r="400">
      <c r="A400" s="21"/>
      <c r="B400" s="21"/>
      <c r="D400" s="21"/>
      <c r="F400" s="21"/>
      <c r="G400" s="21"/>
      <c r="I400" s="21"/>
      <c r="K400" s="21"/>
      <c r="M400" s="21"/>
      <c r="O400" s="21"/>
      <c r="Q400" s="21"/>
      <c r="S400" s="21"/>
      <c r="U400" s="21"/>
      <c r="W400" s="21"/>
      <c r="Y400" s="21"/>
      <c r="AA400" s="21"/>
      <c r="AC400" s="21"/>
      <c r="AE400" s="21"/>
      <c r="AG400" s="21"/>
      <c r="AI400" s="21"/>
      <c r="AK400" s="21"/>
      <c r="AM400" s="21"/>
      <c r="AN400" s="21"/>
    </row>
    <row r="401">
      <c r="A401" s="21"/>
      <c r="B401" s="21"/>
      <c r="D401" s="21"/>
      <c r="F401" s="21"/>
      <c r="G401" s="21"/>
      <c r="I401" s="21"/>
      <c r="K401" s="21"/>
      <c r="M401" s="21"/>
      <c r="O401" s="21"/>
      <c r="Q401" s="21"/>
      <c r="S401" s="21"/>
      <c r="U401" s="21"/>
      <c r="W401" s="21"/>
      <c r="Y401" s="21"/>
      <c r="AA401" s="21"/>
      <c r="AC401" s="21"/>
      <c r="AE401" s="21"/>
      <c r="AG401" s="21"/>
      <c r="AI401" s="21"/>
      <c r="AK401" s="21"/>
      <c r="AM401" s="21"/>
      <c r="AN401" s="21"/>
    </row>
    <row r="402">
      <c r="A402" s="21"/>
      <c r="B402" s="21"/>
      <c r="D402" s="21"/>
      <c r="F402" s="21"/>
      <c r="G402" s="21"/>
      <c r="I402" s="21"/>
      <c r="K402" s="21"/>
      <c r="M402" s="21"/>
      <c r="O402" s="21"/>
      <c r="Q402" s="21"/>
      <c r="S402" s="21"/>
      <c r="U402" s="21"/>
      <c r="W402" s="21"/>
      <c r="Y402" s="21"/>
      <c r="AA402" s="21"/>
      <c r="AC402" s="21"/>
      <c r="AE402" s="21"/>
      <c r="AG402" s="21"/>
      <c r="AI402" s="21"/>
      <c r="AK402" s="21"/>
      <c r="AM402" s="21"/>
      <c r="AN402" s="21"/>
    </row>
    <row r="403">
      <c r="A403" s="21"/>
      <c r="B403" s="21"/>
      <c r="D403" s="21"/>
      <c r="F403" s="21"/>
      <c r="G403" s="21"/>
      <c r="I403" s="21"/>
      <c r="K403" s="21"/>
      <c r="M403" s="21"/>
      <c r="O403" s="21"/>
      <c r="Q403" s="21"/>
      <c r="S403" s="21"/>
      <c r="U403" s="21"/>
      <c r="W403" s="21"/>
      <c r="Y403" s="21"/>
      <c r="AA403" s="21"/>
      <c r="AC403" s="21"/>
      <c r="AE403" s="21"/>
      <c r="AG403" s="21"/>
      <c r="AI403" s="21"/>
      <c r="AK403" s="21"/>
      <c r="AM403" s="21"/>
      <c r="AN403" s="21"/>
    </row>
    <row r="404">
      <c r="A404" s="21"/>
      <c r="B404" s="21"/>
      <c r="D404" s="21"/>
      <c r="F404" s="21"/>
      <c r="G404" s="21"/>
      <c r="I404" s="21"/>
      <c r="K404" s="21"/>
      <c r="M404" s="21"/>
      <c r="O404" s="21"/>
      <c r="Q404" s="21"/>
      <c r="S404" s="21"/>
      <c r="U404" s="21"/>
      <c r="W404" s="21"/>
      <c r="Y404" s="21"/>
      <c r="AA404" s="21"/>
      <c r="AC404" s="21"/>
      <c r="AE404" s="21"/>
      <c r="AG404" s="21"/>
      <c r="AI404" s="21"/>
      <c r="AK404" s="21"/>
      <c r="AM404" s="21"/>
      <c r="AN404" s="21"/>
    </row>
    <row r="405">
      <c r="A405" s="21"/>
      <c r="B405" s="21"/>
      <c r="D405" s="21"/>
      <c r="F405" s="21"/>
      <c r="G405" s="21"/>
      <c r="I405" s="21"/>
      <c r="K405" s="21"/>
      <c r="M405" s="21"/>
      <c r="O405" s="21"/>
      <c r="Q405" s="21"/>
      <c r="S405" s="21"/>
      <c r="U405" s="21"/>
      <c r="W405" s="21"/>
      <c r="Y405" s="21"/>
      <c r="AA405" s="21"/>
      <c r="AC405" s="21"/>
      <c r="AE405" s="21"/>
      <c r="AG405" s="21"/>
      <c r="AI405" s="21"/>
      <c r="AK405" s="21"/>
      <c r="AM405" s="21"/>
      <c r="AN405" s="21"/>
    </row>
    <row r="406">
      <c r="A406" s="21"/>
      <c r="B406" s="21"/>
      <c r="D406" s="21"/>
      <c r="F406" s="21"/>
      <c r="G406" s="21"/>
      <c r="I406" s="21"/>
      <c r="K406" s="21"/>
      <c r="M406" s="21"/>
      <c r="O406" s="21"/>
      <c r="Q406" s="21"/>
      <c r="S406" s="21"/>
      <c r="U406" s="21"/>
      <c r="W406" s="21"/>
      <c r="Y406" s="21"/>
      <c r="AA406" s="21"/>
      <c r="AC406" s="21"/>
      <c r="AE406" s="21"/>
      <c r="AG406" s="21"/>
      <c r="AI406" s="21"/>
      <c r="AK406" s="21"/>
      <c r="AM406" s="21"/>
      <c r="AN406" s="21"/>
    </row>
    <row r="407">
      <c r="A407" s="21"/>
      <c r="B407" s="21"/>
      <c r="D407" s="21"/>
      <c r="F407" s="21"/>
      <c r="G407" s="21"/>
      <c r="I407" s="21"/>
      <c r="K407" s="21"/>
      <c r="M407" s="21"/>
      <c r="O407" s="21"/>
      <c r="Q407" s="21"/>
      <c r="S407" s="21"/>
      <c r="U407" s="21"/>
      <c r="W407" s="21"/>
      <c r="Y407" s="21"/>
      <c r="AA407" s="21"/>
      <c r="AC407" s="21"/>
      <c r="AE407" s="21"/>
      <c r="AG407" s="21"/>
      <c r="AI407" s="21"/>
      <c r="AK407" s="21"/>
      <c r="AM407" s="21"/>
      <c r="AN407" s="21"/>
    </row>
    <row r="408">
      <c r="A408" s="21"/>
      <c r="B408" s="21"/>
      <c r="D408" s="21"/>
      <c r="F408" s="21"/>
      <c r="G408" s="21"/>
      <c r="I408" s="21"/>
      <c r="K408" s="21"/>
      <c r="M408" s="21"/>
      <c r="O408" s="21"/>
      <c r="Q408" s="21"/>
      <c r="S408" s="21"/>
      <c r="U408" s="21"/>
      <c r="W408" s="21"/>
      <c r="Y408" s="21"/>
      <c r="AA408" s="21"/>
      <c r="AC408" s="21"/>
      <c r="AE408" s="21"/>
      <c r="AG408" s="21"/>
      <c r="AI408" s="21"/>
      <c r="AK408" s="21"/>
      <c r="AM408" s="21"/>
      <c r="AN408" s="21"/>
    </row>
    <row r="409">
      <c r="A409" s="21"/>
      <c r="B409" s="21"/>
      <c r="D409" s="21"/>
      <c r="F409" s="21"/>
      <c r="G409" s="21"/>
      <c r="I409" s="21"/>
      <c r="K409" s="21"/>
      <c r="M409" s="21"/>
      <c r="O409" s="21"/>
      <c r="Q409" s="21"/>
      <c r="S409" s="21"/>
      <c r="U409" s="21"/>
      <c r="W409" s="21"/>
      <c r="Y409" s="21"/>
      <c r="AA409" s="21"/>
      <c r="AC409" s="21"/>
      <c r="AE409" s="21"/>
      <c r="AG409" s="21"/>
      <c r="AI409" s="21"/>
      <c r="AK409" s="21"/>
      <c r="AM409" s="21"/>
      <c r="AN409" s="21"/>
    </row>
    <row r="410">
      <c r="A410" s="21"/>
      <c r="B410" s="21"/>
      <c r="D410" s="21"/>
      <c r="F410" s="21"/>
      <c r="G410" s="21"/>
      <c r="I410" s="21"/>
      <c r="K410" s="21"/>
      <c r="M410" s="21"/>
      <c r="O410" s="21"/>
      <c r="Q410" s="21"/>
      <c r="S410" s="21"/>
      <c r="U410" s="21"/>
      <c r="W410" s="21"/>
      <c r="Y410" s="21"/>
      <c r="AA410" s="21"/>
      <c r="AC410" s="21"/>
      <c r="AE410" s="21"/>
      <c r="AG410" s="21"/>
      <c r="AI410" s="21"/>
      <c r="AK410" s="21"/>
      <c r="AM410" s="21"/>
      <c r="AN410" s="21"/>
    </row>
    <row r="411">
      <c r="A411" s="21"/>
      <c r="B411" s="21"/>
      <c r="D411" s="21"/>
      <c r="F411" s="21"/>
      <c r="G411" s="21"/>
      <c r="I411" s="21"/>
      <c r="K411" s="21"/>
      <c r="M411" s="21"/>
      <c r="O411" s="21"/>
      <c r="Q411" s="21"/>
      <c r="S411" s="21"/>
      <c r="U411" s="21"/>
      <c r="W411" s="21"/>
      <c r="Y411" s="21"/>
      <c r="AA411" s="21"/>
      <c r="AC411" s="21"/>
      <c r="AE411" s="21"/>
      <c r="AG411" s="21"/>
      <c r="AI411" s="21"/>
      <c r="AK411" s="21"/>
      <c r="AM411" s="21"/>
      <c r="AN411" s="21"/>
    </row>
    <row r="412">
      <c r="A412" s="21"/>
      <c r="B412" s="21"/>
      <c r="D412" s="21"/>
      <c r="F412" s="21"/>
      <c r="G412" s="21"/>
      <c r="I412" s="21"/>
      <c r="K412" s="21"/>
      <c r="M412" s="21"/>
      <c r="O412" s="21"/>
      <c r="Q412" s="21"/>
      <c r="S412" s="21"/>
      <c r="U412" s="21"/>
      <c r="W412" s="21"/>
      <c r="Y412" s="21"/>
      <c r="AA412" s="21"/>
      <c r="AC412" s="21"/>
      <c r="AE412" s="21"/>
      <c r="AG412" s="21"/>
      <c r="AI412" s="21"/>
      <c r="AK412" s="21"/>
      <c r="AM412" s="21"/>
      <c r="AN412" s="21"/>
    </row>
    <row r="413">
      <c r="A413" s="21"/>
      <c r="B413" s="21"/>
      <c r="D413" s="21"/>
      <c r="F413" s="21"/>
      <c r="G413" s="21"/>
      <c r="I413" s="21"/>
      <c r="K413" s="21"/>
      <c r="M413" s="21"/>
      <c r="O413" s="21"/>
      <c r="Q413" s="21"/>
      <c r="S413" s="21"/>
      <c r="U413" s="21"/>
      <c r="W413" s="21"/>
      <c r="Y413" s="21"/>
      <c r="AA413" s="21"/>
      <c r="AC413" s="21"/>
      <c r="AE413" s="21"/>
      <c r="AG413" s="21"/>
      <c r="AI413" s="21"/>
      <c r="AK413" s="21"/>
      <c r="AM413" s="21"/>
      <c r="AN413" s="21"/>
    </row>
    <row r="414">
      <c r="A414" s="21"/>
      <c r="B414" s="21"/>
      <c r="D414" s="21"/>
      <c r="F414" s="21"/>
      <c r="G414" s="21"/>
      <c r="I414" s="21"/>
      <c r="K414" s="21"/>
      <c r="M414" s="21"/>
      <c r="O414" s="21"/>
      <c r="Q414" s="21"/>
      <c r="S414" s="21"/>
      <c r="U414" s="21"/>
      <c r="W414" s="21"/>
      <c r="Y414" s="21"/>
      <c r="AA414" s="21"/>
      <c r="AC414" s="21"/>
      <c r="AE414" s="21"/>
      <c r="AG414" s="21"/>
      <c r="AI414" s="21"/>
      <c r="AK414" s="21"/>
      <c r="AM414" s="21"/>
      <c r="AN414" s="21"/>
    </row>
    <row r="415">
      <c r="A415" s="21"/>
      <c r="B415" s="21"/>
      <c r="D415" s="21"/>
      <c r="F415" s="21"/>
      <c r="G415" s="21"/>
      <c r="I415" s="21"/>
      <c r="K415" s="21"/>
      <c r="M415" s="21"/>
      <c r="O415" s="21"/>
      <c r="Q415" s="21"/>
      <c r="S415" s="21"/>
      <c r="U415" s="21"/>
      <c r="W415" s="21"/>
      <c r="Y415" s="21"/>
      <c r="AA415" s="21"/>
      <c r="AC415" s="21"/>
      <c r="AE415" s="21"/>
      <c r="AG415" s="21"/>
      <c r="AI415" s="21"/>
      <c r="AK415" s="21"/>
      <c r="AM415" s="21"/>
      <c r="AN415" s="21"/>
    </row>
    <row r="416">
      <c r="A416" s="21"/>
      <c r="B416" s="21"/>
      <c r="D416" s="21"/>
      <c r="F416" s="21"/>
      <c r="G416" s="21"/>
      <c r="I416" s="21"/>
      <c r="K416" s="21"/>
      <c r="M416" s="21"/>
      <c r="O416" s="21"/>
      <c r="Q416" s="21"/>
      <c r="S416" s="21"/>
      <c r="U416" s="21"/>
      <c r="W416" s="21"/>
      <c r="Y416" s="21"/>
      <c r="AA416" s="21"/>
      <c r="AC416" s="21"/>
      <c r="AE416" s="21"/>
      <c r="AG416" s="21"/>
      <c r="AI416" s="21"/>
      <c r="AK416" s="21"/>
      <c r="AM416" s="21"/>
      <c r="AN416" s="21"/>
    </row>
    <row r="417">
      <c r="A417" s="21"/>
      <c r="B417" s="21"/>
      <c r="D417" s="21"/>
      <c r="F417" s="21"/>
      <c r="G417" s="21"/>
      <c r="I417" s="21"/>
      <c r="K417" s="21"/>
      <c r="M417" s="21"/>
      <c r="O417" s="21"/>
      <c r="Q417" s="21"/>
      <c r="S417" s="21"/>
      <c r="U417" s="21"/>
      <c r="W417" s="21"/>
      <c r="Y417" s="21"/>
      <c r="AA417" s="21"/>
      <c r="AC417" s="21"/>
      <c r="AE417" s="21"/>
      <c r="AG417" s="21"/>
      <c r="AI417" s="21"/>
      <c r="AK417" s="21"/>
      <c r="AM417" s="21"/>
      <c r="AN417" s="21"/>
    </row>
    <row r="418">
      <c r="A418" s="21"/>
      <c r="B418" s="21"/>
      <c r="D418" s="21"/>
      <c r="F418" s="21"/>
      <c r="G418" s="21"/>
      <c r="I418" s="21"/>
      <c r="K418" s="21"/>
      <c r="M418" s="21"/>
      <c r="O418" s="21"/>
      <c r="Q418" s="21"/>
      <c r="S418" s="21"/>
      <c r="U418" s="21"/>
      <c r="W418" s="21"/>
      <c r="Y418" s="21"/>
      <c r="AA418" s="21"/>
      <c r="AC418" s="21"/>
      <c r="AE418" s="21"/>
      <c r="AG418" s="21"/>
      <c r="AI418" s="21"/>
      <c r="AK418" s="21"/>
      <c r="AM418" s="21"/>
      <c r="AN418" s="21"/>
    </row>
    <row r="419">
      <c r="A419" s="21"/>
      <c r="B419" s="21"/>
      <c r="D419" s="21"/>
      <c r="F419" s="21"/>
      <c r="G419" s="21"/>
      <c r="I419" s="21"/>
      <c r="K419" s="21"/>
      <c r="M419" s="21"/>
      <c r="O419" s="21"/>
      <c r="Q419" s="21"/>
      <c r="S419" s="21"/>
      <c r="U419" s="21"/>
      <c r="W419" s="21"/>
      <c r="Y419" s="21"/>
      <c r="AA419" s="21"/>
      <c r="AC419" s="21"/>
      <c r="AE419" s="21"/>
      <c r="AG419" s="21"/>
      <c r="AI419" s="21"/>
      <c r="AK419" s="21"/>
      <c r="AM419" s="21"/>
      <c r="AN419" s="21"/>
    </row>
    <row r="420">
      <c r="A420" s="21"/>
      <c r="B420" s="21"/>
      <c r="D420" s="21"/>
      <c r="F420" s="21"/>
      <c r="G420" s="21"/>
      <c r="I420" s="21"/>
      <c r="K420" s="21"/>
      <c r="M420" s="21"/>
      <c r="O420" s="21"/>
      <c r="Q420" s="21"/>
      <c r="S420" s="21"/>
      <c r="U420" s="21"/>
      <c r="W420" s="21"/>
      <c r="Y420" s="21"/>
      <c r="AA420" s="21"/>
      <c r="AC420" s="21"/>
      <c r="AE420" s="21"/>
      <c r="AG420" s="21"/>
      <c r="AI420" s="21"/>
      <c r="AK420" s="21"/>
      <c r="AM420" s="21"/>
      <c r="AN420" s="21"/>
    </row>
    <row r="421">
      <c r="A421" s="21"/>
      <c r="B421" s="21"/>
      <c r="D421" s="21"/>
      <c r="F421" s="21"/>
      <c r="G421" s="21"/>
      <c r="I421" s="21"/>
      <c r="K421" s="21"/>
      <c r="M421" s="21"/>
      <c r="O421" s="21"/>
      <c r="Q421" s="21"/>
      <c r="S421" s="21"/>
      <c r="U421" s="21"/>
      <c r="W421" s="21"/>
      <c r="Y421" s="21"/>
      <c r="AA421" s="21"/>
      <c r="AC421" s="21"/>
      <c r="AE421" s="21"/>
      <c r="AG421" s="21"/>
      <c r="AI421" s="21"/>
      <c r="AK421" s="21"/>
      <c r="AM421" s="21"/>
      <c r="AN421" s="21"/>
    </row>
    <row r="422">
      <c r="A422" s="21"/>
      <c r="B422" s="21"/>
      <c r="D422" s="21"/>
      <c r="F422" s="21"/>
      <c r="G422" s="21"/>
      <c r="I422" s="21"/>
      <c r="K422" s="21"/>
      <c r="M422" s="21"/>
      <c r="O422" s="21"/>
      <c r="Q422" s="21"/>
      <c r="S422" s="21"/>
      <c r="U422" s="21"/>
      <c r="W422" s="21"/>
      <c r="Y422" s="21"/>
      <c r="AA422" s="21"/>
      <c r="AC422" s="21"/>
      <c r="AE422" s="21"/>
      <c r="AG422" s="21"/>
      <c r="AI422" s="21"/>
      <c r="AK422" s="21"/>
      <c r="AM422" s="21"/>
      <c r="AN422" s="21"/>
    </row>
    <row r="423">
      <c r="A423" s="21"/>
      <c r="B423" s="21"/>
      <c r="D423" s="21"/>
      <c r="F423" s="21"/>
      <c r="G423" s="21"/>
      <c r="I423" s="21"/>
      <c r="K423" s="21"/>
      <c r="M423" s="21"/>
      <c r="O423" s="21"/>
      <c r="Q423" s="21"/>
      <c r="S423" s="21"/>
      <c r="U423" s="21"/>
      <c r="W423" s="21"/>
      <c r="Y423" s="21"/>
      <c r="AA423" s="21"/>
      <c r="AC423" s="21"/>
      <c r="AE423" s="21"/>
      <c r="AG423" s="21"/>
      <c r="AI423" s="21"/>
      <c r="AK423" s="21"/>
      <c r="AM423" s="21"/>
      <c r="AN423" s="21"/>
    </row>
    <row r="424">
      <c r="A424" s="21"/>
      <c r="B424" s="21"/>
      <c r="D424" s="21"/>
      <c r="F424" s="21"/>
      <c r="G424" s="21"/>
      <c r="I424" s="21"/>
      <c r="K424" s="21"/>
      <c r="M424" s="21"/>
      <c r="O424" s="21"/>
      <c r="Q424" s="21"/>
      <c r="S424" s="21"/>
      <c r="U424" s="21"/>
      <c r="W424" s="21"/>
      <c r="Y424" s="21"/>
      <c r="AA424" s="21"/>
      <c r="AC424" s="21"/>
      <c r="AE424" s="21"/>
      <c r="AG424" s="21"/>
      <c r="AI424" s="21"/>
      <c r="AK424" s="21"/>
      <c r="AM424" s="21"/>
      <c r="AN424" s="21"/>
    </row>
    <row r="425">
      <c r="A425" s="21"/>
      <c r="B425" s="21"/>
      <c r="D425" s="21"/>
      <c r="F425" s="21"/>
      <c r="G425" s="21"/>
      <c r="I425" s="21"/>
      <c r="K425" s="21"/>
      <c r="M425" s="21"/>
      <c r="O425" s="21"/>
      <c r="Q425" s="21"/>
      <c r="S425" s="21"/>
      <c r="U425" s="21"/>
      <c r="W425" s="21"/>
      <c r="Y425" s="21"/>
      <c r="AA425" s="21"/>
      <c r="AC425" s="21"/>
      <c r="AE425" s="21"/>
      <c r="AG425" s="21"/>
      <c r="AI425" s="21"/>
      <c r="AK425" s="21"/>
      <c r="AM425" s="21"/>
      <c r="AN425" s="21"/>
    </row>
    <row r="426">
      <c r="A426" s="21"/>
      <c r="B426" s="21"/>
      <c r="D426" s="21"/>
      <c r="F426" s="21"/>
      <c r="G426" s="21"/>
      <c r="I426" s="21"/>
      <c r="K426" s="21"/>
      <c r="M426" s="21"/>
      <c r="O426" s="21"/>
      <c r="Q426" s="21"/>
      <c r="S426" s="21"/>
      <c r="U426" s="21"/>
      <c r="W426" s="21"/>
      <c r="Y426" s="21"/>
      <c r="AA426" s="21"/>
      <c r="AC426" s="21"/>
      <c r="AE426" s="21"/>
      <c r="AG426" s="21"/>
      <c r="AI426" s="21"/>
      <c r="AK426" s="21"/>
      <c r="AM426" s="21"/>
      <c r="AN426" s="21"/>
    </row>
    <row r="427">
      <c r="A427" s="21"/>
      <c r="B427" s="21"/>
      <c r="D427" s="21"/>
      <c r="F427" s="21"/>
      <c r="G427" s="21"/>
      <c r="I427" s="21"/>
      <c r="K427" s="21"/>
      <c r="M427" s="21"/>
      <c r="O427" s="21"/>
      <c r="Q427" s="21"/>
      <c r="S427" s="21"/>
      <c r="U427" s="21"/>
      <c r="W427" s="21"/>
      <c r="Y427" s="21"/>
      <c r="AA427" s="21"/>
      <c r="AC427" s="21"/>
      <c r="AE427" s="21"/>
      <c r="AG427" s="21"/>
      <c r="AI427" s="21"/>
      <c r="AK427" s="21"/>
      <c r="AM427" s="21"/>
      <c r="AN427" s="21"/>
    </row>
    <row r="428">
      <c r="A428" s="21"/>
      <c r="B428" s="21"/>
      <c r="D428" s="21"/>
      <c r="F428" s="21"/>
      <c r="G428" s="21"/>
      <c r="I428" s="21"/>
      <c r="K428" s="21"/>
      <c r="M428" s="21"/>
      <c r="O428" s="21"/>
      <c r="Q428" s="21"/>
      <c r="S428" s="21"/>
      <c r="U428" s="21"/>
      <c r="W428" s="21"/>
      <c r="Y428" s="21"/>
      <c r="AA428" s="21"/>
      <c r="AC428" s="21"/>
      <c r="AE428" s="21"/>
      <c r="AG428" s="21"/>
      <c r="AI428" s="21"/>
      <c r="AK428" s="21"/>
      <c r="AM428" s="21"/>
      <c r="AN428" s="21"/>
    </row>
    <row r="429">
      <c r="A429" s="21"/>
      <c r="B429" s="21"/>
      <c r="D429" s="21"/>
      <c r="F429" s="21"/>
      <c r="G429" s="21"/>
      <c r="I429" s="21"/>
      <c r="K429" s="21"/>
      <c r="M429" s="21"/>
      <c r="O429" s="21"/>
      <c r="Q429" s="21"/>
      <c r="S429" s="21"/>
      <c r="U429" s="21"/>
      <c r="W429" s="21"/>
      <c r="Y429" s="21"/>
      <c r="AA429" s="21"/>
      <c r="AC429" s="21"/>
      <c r="AE429" s="21"/>
      <c r="AG429" s="21"/>
      <c r="AI429" s="21"/>
      <c r="AK429" s="21"/>
      <c r="AM429" s="21"/>
      <c r="AN429" s="21"/>
    </row>
    <row r="430">
      <c r="A430" s="21"/>
      <c r="B430" s="21"/>
      <c r="D430" s="21"/>
      <c r="F430" s="21"/>
      <c r="G430" s="21"/>
      <c r="I430" s="21"/>
      <c r="K430" s="21"/>
      <c r="M430" s="21"/>
      <c r="O430" s="21"/>
      <c r="Q430" s="21"/>
      <c r="S430" s="21"/>
      <c r="U430" s="21"/>
      <c r="W430" s="21"/>
      <c r="Y430" s="21"/>
      <c r="AA430" s="21"/>
      <c r="AC430" s="21"/>
      <c r="AE430" s="21"/>
      <c r="AG430" s="21"/>
      <c r="AI430" s="21"/>
      <c r="AK430" s="21"/>
      <c r="AM430" s="21"/>
      <c r="AN430" s="21"/>
    </row>
    <row r="431">
      <c r="A431" s="21"/>
      <c r="B431" s="21"/>
      <c r="D431" s="21"/>
      <c r="F431" s="21"/>
      <c r="G431" s="21"/>
      <c r="I431" s="21"/>
      <c r="K431" s="21"/>
      <c r="M431" s="21"/>
      <c r="O431" s="21"/>
      <c r="Q431" s="21"/>
      <c r="S431" s="21"/>
      <c r="U431" s="21"/>
      <c r="W431" s="21"/>
      <c r="Y431" s="21"/>
      <c r="AA431" s="21"/>
      <c r="AC431" s="21"/>
      <c r="AE431" s="21"/>
      <c r="AG431" s="21"/>
      <c r="AI431" s="21"/>
      <c r="AK431" s="21"/>
      <c r="AM431" s="21"/>
      <c r="AN431" s="21"/>
    </row>
    <row r="432">
      <c r="A432" s="21"/>
      <c r="B432" s="21"/>
      <c r="D432" s="21"/>
      <c r="F432" s="21"/>
      <c r="G432" s="21"/>
      <c r="I432" s="21"/>
      <c r="K432" s="21"/>
      <c r="M432" s="21"/>
      <c r="O432" s="21"/>
      <c r="Q432" s="21"/>
      <c r="S432" s="21"/>
      <c r="U432" s="21"/>
      <c r="W432" s="21"/>
      <c r="Y432" s="21"/>
      <c r="AA432" s="21"/>
      <c r="AC432" s="21"/>
      <c r="AE432" s="21"/>
      <c r="AG432" s="21"/>
      <c r="AI432" s="21"/>
      <c r="AK432" s="21"/>
      <c r="AM432" s="21"/>
      <c r="AN432" s="21"/>
    </row>
    <row r="433">
      <c r="A433" s="21"/>
      <c r="B433" s="21"/>
      <c r="D433" s="21"/>
      <c r="F433" s="21"/>
      <c r="G433" s="21"/>
      <c r="I433" s="21"/>
      <c r="K433" s="21"/>
      <c r="M433" s="21"/>
      <c r="O433" s="21"/>
      <c r="Q433" s="21"/>
      <c r="S433" s="21"/>
      <c r="U433" s="21"/>
      <c r="W433" s="21"/>
      <c r="Y433" s="21"/>
      <c r="AA433" s="21"/>
      <c r="AC433" s="21"/>
      <c r="AE433" s="21"/>
      <c r="AG433" s="21"/>
      <c r="AI433" s="21"/>
      <c r="AK433" s="21"/>
      <c r="AM433" s="21"/>
      <c r="AN433" s="21"/>
    </row>
    <row r="434">
      <c r="A434" s="21"/>
      <c r="B434" s="21"/>
      <c r="D434" s="21"/>
      <c r="F434" s="21"/>
      <c r="G434" s="21"/>
      <c r="I434" s="21"/>
      <c r="K434" s="21"/>
      <c r="M434" s="21"/>
      <c r="O434" s="21"/>
      <c r="Q434" s="21"/>
      <c r="S434" s="21"/>
      <c r="U434" s="21"/>
      <c r="W434" s="21"/>
      <c r="Y434" s="21"/>
      <c r="AA434" s="21"/>
      <c r="AC434" s="21"/>
      <c r="AE434" s="21"/>
      <c r="AG434" s="21"/>
      <c r="AI434" s="21"/>
      <c r="AK434" s="21"/>
      <c r="AM434" s="21"/>
      <c r="AN434" s="21"/>
    </row>
    <row r="435">
      <c r="A435" s="21"/>
      <c r="B435" s="21"/>
      <c r="D435" s="21"/>
      <c r="F435" s="21"/>
      <c r="G435" s="21"/>
      <c r="I435" s="21"/>
      <c r="K435" s="21"/>
      <c r="M435" s="21"/>
      <c r="O435" s="21"/>
      <c r="Q435" s="21"/>
      <c r="S435" s="21"/>
      <c r="U435" s="21"/>
      <c r="W435" s="21"/>
      <c r="Y435" s="21"/>
      <c r="AA435" s="21"/>
      <c r="AC435" s="21"/>
      <c r="AE435" s="21"/>
      <c r="AG435" s="21"/>
      <c r="AI435" s="21"/>
      <c r="AK435" s="21"/>
      <c r="AM435" s="21"/>
      <c r="AN435" s="21"/>
    </row>
    <row r="436">
      <c r="A436" s="21"/>
      <c r="B436" s="21"/>
      <c r="D436" s="21"/>
      <c r="F436" s="21"/>
      <c r="G436" s="21"/>
      <c r="I436" s="21"/>
      <c r="K436" s="21"/>
      <c r="M436" s="21"/>
      <c r="O436" s="21"/>
      <c r="Q436" s="21"/>
      <c r="S436" s="21"/>
      <c r="U436" s="21"/>
      <c r="W436" s="21"/>
      <c r="Y436" s="21"/>
      <c r="AA436" s="21"/>
      <c r="AC436" s="21"/>
      <c r="AE436" s="21"/>
      <c r="AG436" s="21"/>
      <c r="AI436" s="21"/>
      <c r="AK436" s="21"/>
      <c r="AM436" s="21"/>
      <c r="AN436" s="21"/>
    </row>
    <row r="437">
      <c r="A437" s="21"/>
      <c r="B437" s="21"/>
      <c r="D437" s="21"/>
      <c r="F437" s="21"/>
      <c r="G437" s="21"/>
      <c r="I437" s="21"/>
      <c r="K437" s="21"/>
      <c r="M437" s="21"/>
      <c r="O437" s="21"/>
      <c r="Q437" s="21"/>
      <c r="S437" s="21"/>
      <c r="U437" s="21"/>
      <c r="W437" s="21"/>
      <c r="Y437" s="21"/>
      <c r="AA437" s="21"/>
      <c r="AC437" s="21"/>
      <c r="AE437" s="21"/>
      <c r="AG437" s="21"/>
      <c r="AI437" s="21"/>
      <c r="AK437" s="21"/>
      <c r="AM437" s="21"/>
      <c r="AN437" s="21"/>
    </row>
    <row r="438">
      <c r="A438" s="21"/>
      <c r="B438" s="21"/>
      <c r="D438" s="21"/>
      <c r="F438" s="21"/>
      <c r="G438" s="21"/>
      <c r="I438" s="21"/>
      <c r="K438" s="21"/>
      <c r="M438" s="21"/>
      <c r="O438" s="21"/>
      <c r="Q438" s="21"/>
      <c r="S438" s="21"/>
      <c r="U438" s="21"/>
      <c r="W438" s="21"/>
      <c r="Y438" s="21"/>
      <c r="AA438" s="21"/>
      <c r="AC438" s="21"/>
      <c r="AE438" s="21"/>
      <c r="AG438" s="21"/>
      <c r="AI438" s="21"/>
      <c r="AK438" s="21"/>
      <c r="AM438" s="21"/>
      <c r="AN438" s="21"/>
    </row>
    <row r="439">
      <c r="A439" s="21"/>
      <c r="B439" s="21"/>
      <c r="D439" s="21"/>
      <c r="F439" s="21"/>
      <c r="G439" s="21"/>
      <c r="I439" s="21"/>
      <c r="K439" s="21"/>
      <c r="M439" s="21"/>
      <c r="O439" s="21"/>
      <c r="Q439" s="21"/>
      <c r="S439" s="21"/>
      <c r="U439" s="21"/>
      <c r="W439" s="21"/>
      <c r="Y439" s="21"/>
      <c r="AA439" s="21"/>
      <c r="AC439" s="21"/>
      <c r="AE439" s="21"/>
      <c r="AG439" s="21"/>
      <c r="AI439" s="21"/>
      <c r="AK439" s="21"/>
      <c r="AM439" s="21"/>
      <c r="AN439" s="21"/>
    </row>
    <row r="440">
      <c r="A440" s="21"/>
      <c r="B440" s="21"/>
      <c r="D440" s="21"/>
      <c r="F440" s="21"/>
      <c r="G440" s="21"/>
      <c r="I440" s="21"/>
      <c r="K440" s="21"/>
      <c r="M440" s="21"/>
      <c r="O440" s="21"/>
      <c r="Q440" s="21"/>
      <c r="S440" s="21"/>
      <c r="U440" s="21"/>
      <c r="W440" s="21"/>
      <c r="Y440" s="21"/>
      <c r="AA440" s="21"/>
      <c r="AC440" s="21"/>
      <c r="AE440" s="21"/>
      <c r="AG440" s="21"/>
      <c r="AI440" s="21"/>
      <c r="AK440" s="21"/>
      <c r="AM440" s="21"/>
      <c r="AN440" s="21"/>
    </row>
    <row r="441">
      <c r="A441" s="21"/>
      <c r="B441" s="21"/>
      <c r="D441" s="21"/>
      <c r="F441" s="21"/>
      <c r="G441" s="21"/>
      <c r="I441" s="21"/>
      <c r="K441" s="21"/>
      <c r="M441" s="21"/>
      <c r="O441" s="21"/>
      <c r="Q441" s="21"/>
      <c r="S441" s="21"/>
      <c r="U441" s="21"/>
      <c r="W441" s="21"/>
      <c r="Y441" s="21"/>
      <c r="AA441" s="21"/>
      <c r="AC441" s="21"/>
      <c r="AE441" s="21"/>
      <c r="AG441" s="21"/>
      <c r="AI441" s="21"/>
      <c r="AK441" s="21"/>
      <c r="AM441" s="21"/>
      <c r="AN441" s="21"/>
    </row>
    <row r="442">
      <c r="A442" s="21"/>
      <c r="B442" s="21"/>
      <c r="D442" s="21"/>
      <c r="F442" s="21"/>
      <c r="G442" s="21"/>
      <c r="I442" s="21"/>
      <c r="K442" s="21"/>
      <c r="M442" s="21"/>
      <c r="O442" s="21"/>
      <c r="Q442" s="21"/>
      <c r="S442" s="21"/>
      <c r="U442" s="21"/>
      <c r="W442" s="21"/>
      <c r="Y442" s="21"/>
      <c r="AA442" s="21"/>
      <c r="AC442" s="21"/>
      <c r="AE442" s="21"/>
      <c r="AG442" s="21"/>
      <c r="AI442" s="21"/>
      <c r="AK442" s="21"/>
      <c r="AM442" s="21"/>
      <c r="AN442" s="21"/>
    </row>
    <row r="443">
      <c r="A443" s="21"/>
      <c r="B443" s="21"/>
      <c r="D443" s="21"/>
      <c r="F443" s="21"/>
      <c r="G443" s="21"/>
      <c r="I443" s="21"/>
      <c r="K443" s="21"/>
      <c r="M443" s="21"/>
      <c r="O443" s="21"/>
      <c r="Q443" s="21"/>
      <c r="S443" s="21"/>
      <c r="U443" s="21"/>
      <c r="W443" s="21"/>
      <c r="Y443" s="21"/>
      <c r="AA443" s="21"/>
      <c r="AC443" s="21"/>
      <c r="AE443" s="21"/>
      <c r="AG443" s="21"/>
      <c r="AI443" s="21"/>
      <c r="AK443" s="21"/>
      <c r="AM443" s="21"/>
      <c r="AN443" s="21"/>
    </row>
    <row r="444">
      <c r="A444" s="21"/>
      <c r="B444" s="21"/>
      <c r="D444" s="21"/>
      <c r="F444" s="21"/>
      <c r="G444" s="21"/>
      <c r="I444" s="21"/>
      <c r="K444" s="21"/>
      <c r="M444" s="21"/>
      <c r="O444" s="21"/>
      <c r="Q444" s="21"/>
      <c r="S444" s="21"/>
      <c r="U444" s="21"/>
      <c r="W444" s="21"/>
      <c r="Y444" s="21"/>
      <c r="AA444" s="21"/>
      <c r="AC444" s="21"/>
      <c r="AE444" s="21"/>
      <c r="AG444" s="21"/>
      <c r="AI444" s="21"/>
      <c r="AK444" s="21"/>
      <c r="AM444" s="21"/>
      <c r="AN444" s="21"/>
    </row>
    <row r="445">
      <c r="A445" s="21"/>
      <c r="B445" s="21"/>
      <c r="D445" s="21"/>
      <c r="F445" s="21"/>
      <c r="G445" s="21"/>
      <c r="I445" s="21"/>
      <c r="K445" s="21"/>
      <c r="M445" s="21"/>
      <c r="O445" s="21"/>
      <c r="Q445" s="21"/>
      <c r="S445" s="21"/>
      <c r="U445" s="21"/>
      <c r="W445" s="21"/>
      <c r="Y445" s="21"/>
      <c r="AA445" s="21"/>
      <c r="AC445" s="21"/>
      <c r="AE445" s="21"/>
      <c r="AG445" s="21"/>
      <c r="AI445" s="21"/>
      <c r="AK445" s="21"/>
      <c r="AM445" s="21"/>
      <c r="AN445" s="21"/>
    </row>
    <row r="446">
      <c r="A446" s="21"/>
      <c r="B446" s="21"/>
      <c r="D446" s="21"/>
      <c r="F446" s="21"/>
      <c r="G446" s="21"/>
      <c r="I446" s="21"/>
      <c r="K446" s="21"/>
      <c r="M446" s="21"/>
      <c r="O446" s="21"/>
      <c r="Q446" s="21"/>
      <c r="S446" s="21"/>
      <c r="U446" s="21"/>
      <c r="W446" s="21"/>
      <c r="Y446" s="21"/>
      <c r="AA446" s="21"/>
      <c r="AC446" s="21"/>
      <c r="AE446" s="21"/>
      <c r="AG446" s="21"/>
      <c r="AI446" s="21"/>
      <c r="AK446" s="21"/>
      <c r="AM446" s="21"/>
      <c r="AN446" s="21"/>
    </row>
    <row r="447">
      <c r="A447" s="21"/>
      <c r="B447" s="21"/>
      <c r="D447" s="21"/>
      <c r="F447" s="21"/>
      <c r="G447" s="21"/>
      <c r="I447" s="21"/>
      <c r="K447" s="21"/>
      <c r="M447" s="21"/>
      <c r="O447" s="21"/>
      <c r="Q447" s="21"/>
      <c r="S447" s="21"/>
      <c r="U447" s="21"/>
      <c r="W447" s="21"/>
      <c r="Y447" s="21"/>
      <c r="AA447" s="21"/>
      <c r="AC447" s="21"/>
      <c r="AE447" s="21"/>
      <c r="AG447" s="21"/>
      <c r="AI447" s="21"/>
      <c r="AK447" s="21"/>
      <c r="AM447" s="21"/>
      <c r="AN447" s="21"/>
    </row>
    <row r="448">
      <c r="A448" s="21"/>
      <c r="B448" s="21"/>
      <c r="D448" s="21"/>
      <c r="F448" s="21"/>
      <c r="G448" s="21"/>
      <c r="I448" s="21"/>
      <c r="K448" s="21"/>
      <c r="M448" s="21"/>
      <c r="O448" s="21"/>
      <c r="Q448" s="21"/>
      <c r="S448" s="21"/>
      <c r="U448" s="21"/>
      <c r="W448" s="21"/>
      <c r="Y448" s="21"/>
      <c r="AA448" s="21"/>
      <c r="AC448" s="21"/>
      <c r="AE448" s="21"/>
      <c r="AG448" s="21"/>
      <c r="AI448" s="21"/>
      <c r="AK448" s="21"/>
      <c r="AM448" s="21"/>
      <c r="AN448" s="21"/>
    </row>
    <row r="449">
      <c r="A449" s="21"/>
      <c r="B449" s="21"/>
      <c r="D449" s="21"/>
      <c r="F449" s="21"/>
      <c r="G449" s="21"/>
      <c r="I449" s="21"/>
      <c r="K449" s="21"/>
      <c r="M449" s="21"/>
      <c r="O449" s="21"/>
      <c r="Q449" s="21"/>
      <c r="S449" s="21"/>
      <c r="U449" s="21"/>
      <c r="W449" s="21"/>
      <c r="Y449" s="21"/>
      <c r="AA449" s="21"/>
      <c r="AC449" s="21"/>
      <c r="AE449" s="21"/>
      <c r="AG449" s="21"/>
      <c r="AI449" s="21"/>
      <c r="AK449" s="21"/>
      <c r="AM449" s="21"/>
      <c r="AN449" s="21"/>
    </row>
    <row r="450">
      <c r="A450" s="21"/>
      <c r="B450" s="21"/>
      <c r="D450" s="21"/>
      <c r="F450" s="21"/>
      <c r="G450" s="21"/>
      <c r="I450" s="21"/>
      <c r="K450" s="21"/>
      <c r="M450" s="21"/>
      <c r="O450" s="21"/>
      <c r="Q450" s="21"/>
      <c r="S450" s="21"/>
      <c r="U450" s="21"/>
      <c r="W450" s="21"/>
      <c r="Y450" s="21"/>
      <c r="AA450" s="21"/>
      <c r="AC450" s="21"/>
      <c r="AE450" s="21"/>
      <c r="AG450" s="21"/>
      <c r="AI450" s="21"/>
      <c r="AK450" s="21"/>
      <c r="AM450" s="21"/>
      <c r="AN450" s="21"/>
    </row>
    <row r="451">
      <c r="A451" s="21"/>
      <c r="B451" s="21"/>
      <c r="D451" s="21"/>
      <c r="F451" s="21"/>
      <c r="G451" s="21"/>
      <c r="I451" s="21"/>
      <c r="K451" s="21"/>
      <c r="M451" s="21"/>
      <c r="O451" s="21"/>
      <c r="Q451" s="21"/>
      <c r="S451" s="21"/>
      <c r="U451" s="21"/>
      <c r="W451" s="21"/>
      <c r="Y451" s="21"/>
      <c r="AA451" s="21"/>
      <c r="AC451" s="21"/>
      <c r="AE451" s="21"/>
      <c r="AG451" s="21"/>
      <c r="AI451" s="21"/>
      <c r="AK451" s="21"/>
      <c r="AM451" s="21"/>
      <c r="AN451" s="21"/>
    </row>
    <row r="452">
      <c r="A452" s="21"/>
      <c r="B452" s="21"/>
      <c r="D452" s="21"/>
      <c r="F452" s="21"/>
      <c r="G452" s="21"/>
      <c r="I452" s="21"/>
      <c r="K452" s="21"/>
      <c r="M452" s="21"/>
      <c r="O452" s="21"/>
      <c r="Q452" s="21"/>
      <c r="S452" s="21"/>
      <c r="U452" s="21"/>
      <c r="W452" s="21"/>
      <c r="Y452" s="21"/>
      <c r="AA452" s="21"/>
      <c r="AC452" s="21"/>
      <c r="AE452" s="21"/>
      <c r="AG452" s="21"/>
      <c r="AI452" s="21"/>
      <c r="AK452" s="21"/>
      <c r="AM452" s="21"/>
      <c r="AN452" s="21"/>
    </row>
    <row r="453">
      <c r="A453" s="21"/>
      <c r="B453" s="21"/>
      <c r="D453" s="21"/>
      <c r="F453" s="21"/>
      <c r="G453" s="21"/>
      <c r="I453" s="21"/>
      <c r="K453" s="21"/>
      <c r="M453" s="21"/>
      <c r="O453" s="21"/>
      <c r="Q453" s="21"/>
      <c r="S453" s="21"/>
      <c r="U453" s="21"/>
      <c r="W453" s="21"/>
      <c r="Y453" s="21"/>
      <c r="AA453" s="21"/>
      <c r="AC453" s="21"/>
      <c r="AE453" s="21"/>
      <c r="AG453" s="21"/>
      <c r="AI453" s="21"/>
      <c r="AK453" s="21"/>
      <c r="AM453" s="21"/>
      <c r="AN453" s="21"/>
    </row>
    <row r="454">
      <c r="A454" s="21"/>
      <c r="B454" s="21"/>
      <c r="D454" s="21"/>
      <c r="F454" s="21"/>
      <c r="G454" s="21"/>
      <c r="I454" s="21"/>
      <c r="K454" s="21"/>
      <c r="M454" s="21"/>
      <c r="O454" s="21"/>
      <c r="Q454" s="21"/>
      <c r="S454" s="21"/>
      <c r="U454" s="21"/>
      <c r="W454" s="21"/>
      <c r="Y454" s="21"/>
      <c r="AA454" s="21"/>
      <c r="AC454" s="21"/>
      <c r="AE454" s="21"/>
      <c r="AG454" s="21"/>
      <c r="AI454" s="21"/>
      <c r="AK454" s="21"/>
      <c r="AM454" s="21"/>
      <c r="AN454" s="21"/>
    </row>
    <row r="455">
      <c r="A455" s="21"/>
      <c r="B455" s="21"/>
      <c r="D455" s="21"/>
      <c r="F455" s="21"/>
      <c r="G455" s="21"/>
      <c r="I455" s="21"/>
      <c r="K455" s="21"/>
      <c r="M455" s="21"/>
      <c r="O455" s="21"/>
      <c r="Q455" s="21"/>
      <c r="S455" s="21"/>
      <c r="U455" s="21"/>
      <c r="W455" s="21"/>
      <c r="Y455" s="21"/>
      <c r="AA455" s="21"/>
      <c r="AC455" s="21"/>
      <c r="AE455" s="21"/>
      <c r="AG455" s="21"/>
      <c r="AI455" s="21"/>
      <c r="AK455" s="21"/>
      <c r="AM455" s="21"/>
      <c r="AN455" s="21"/>
    </row>
    <row r="456">
      <c r="A456" s="21"/>
      <c r="B456" s="21"/>
      <c r="D456" s="21"/>
      <c r="F456" s="21"/>
      <c r="G456" s="21"/>
      <c r="I456" s="21"/>
      <c r="K456" s="21"/>
      <c r="M456" s="21"/>
      <c r="O456" s="21"/>
      <c r="Q456" s="21"/>
      <c r="S456" s="21"/>
      <c r="U456" s="21"/>
      <c r="W456" s="21"/>
      <c r="Y456" s="21"/>
      <c r="AA456" s="21"/>
      <c r="AC456" s="21"/>
      <c r="AE456" s="21"/>
      <c r="AG456" s="21"/>
      <c r="AI456" s="21"/>
      <c r="AK456" s="21"/>
      <c r="AM456" s="21"/>
      <c r="AN456" s="21"/>
    </row>
    <row r="457">
      <c r="A457" s="21"/>
      <c r="B457" s="21"/>
      <c r="D457" s="21"/>
      <c r="F457" s="21"/>
      <c r="G457" s="21"/>
      <c r="I457" s="21"/>
      <c r="K457" s="21"/>
      <c r="M457" s="21"/>
      <c r="O457" s="21"/>
      <c r="Q457" s="21"/>
      <c r="S457" s="21"/>
      <c r="U457" s="21"/>
      <c r="W457" s="21"/>
      <c r="Y457" s="21"/>
      <c r="AA457" s="21"/>
      <c r="AC457" s="21"/>
      <c r="AE457" s="21"/>
      <c r="AG457" s="21"/>
      <c r="AI457" s="21"/>
      <c r="AK457" s="21"/>
      <c r="AM457" s="21"/>
      <c r="AN457" s="21"/>
    </row>
    <row r="458">
      <c r="A458" s="21"/>
      <c r="B458" s="21"/>
      <c r="D458" s="21"/>
      <c r="F458" s="21"/>
      <c r="G458" s="21"/>
      <c r="I458" s="21"/>
      <c r="K458" s="21"/>
      <c r="M458" s="21"/>
      <c r="O458" s="21"/>
      <c r="Q458" s="21"/>
      <c r="S458" s="21"/>
      <c r="U458" s="21"/>
      <c r="W458" s="21"/>
      <c r="Y458" s="21"/>
      <c r="AA458" s="21"/>
      <c r="AC458" s="21"/>
      <c r="AE458" s="21"/>
      <c r="AG458" s="21"/>
      <c r="AI458" s="21"/>
      <c r="AK458" s="21"/>
      <c r="AM458" s="21"/>
      <c r="AN458" s="21"/>
    </row>
    <row r="459">
      <c r="A459" s="21"/>
      <c r="B459" s="21"/>
      <c r="D459" s="21"/>
      <c r="F459" s="21"/>
      <c r="G459" s="21"/>
      <c r="I459" s="21"/>
      <c r="K459" s="21"/>
      <c r="M459" s="21"/>
      <c r="O459" s="21"/>
      <c r="Q459" s="21"/>
      <c r="S459" s="21"/>
      <c r="U459" s="21"/>
      <c r="W459" s="21"/>
      <c r="Y459" s="21"/>
      <c r="AA459" s="21"/>
      <c r="AC459" s="21"/>
      <c r="AE459" s="21"/>
      <c r="AG459" s="21"/>
      <c r="AI459" s="21"/>
      <c r="AK459" s="21"/>
      <c r="AM459" s="21"/>
      <c r="AN459" s="21"/>
    </row>
    <row r="460">
      <c r="A460" s="21"/>
      <c r="B460" s="21"/>
      <c r="D460" s="21"/>
      <c r="F460" s="21"/>
      <c r="G460" s="21"/>
      <c r="I460" s="21"/>
      <c r="K460" s="21"/>
      <c r="M460" s="21"/>
      <c r="O460" s="21"/>
      <c r="Q460" s="21"/>
      <c r="S460" s="21"/>
      <c r="U460" s="21"/>
      <c r="W460" s="21"/>
      <c r="Y460" s="21"/>
      <c r="AA460" s="21"/>
      <c r="AC460" s="21"/>
      <c r="AE460" s="21"/>
      <c r="AG460" s="21"/>
      <c r="AI460" s="21"/>
      <c r="AK460" s="21"/>
      <c r="AM460" s="21"/>
      <c r="AN460" s="21"/>
    </row>
    <row r="461">
      <c r="A461" s="21"/>
      <c r="B461" s="21"/>
      <c r="D461" s="21"/>
      <c r="F461" s="21"/>
      <c r="G461" s="21"/>
      <c r="I461" s="21"/>
      <c r="K461" s="21"/>
      <c r="M461" s="21"/>
      <c r="O461" s="21"/>
      <c r="Q461" s="21"/>
      <c r="S461" s="21"/>
      <c r="U461" s="21"/>
      <c r="W461" s="21"/>
      <c r="Y461" s="21"/>
      <c r="AA461" s="21"/>
      <c r="AC461" s="21"/>
      <c r="AE461" s="21"/>
      <c r="AG461" s="21"/>
      <c r="AI461" s="21"/>
      <c r="AK461" s="21"/>
      <c r="AM461" s="21"/>
      <c r="AN461" s="21"/>
    </row>
    <row r="462">
      <c r="A462" s="21"/>
      <c r="B462" s="21"/>
      <c r="D462" s="21"/>
      <c r="F462" s="21"/>
      <c r="G462" s="21"/>
      <c r="I462" s="21"/>
      <c r="K462" s="21"/>
      <c r="M462" s="21"/>
      <c r="O462" s="21"/>
      <c r="Q462" s="21"/>
      <c r="S462" s="21"/>
      <c r="U462" s="21"/>
      <c r="W462" s="21"/>
      <c r="Y462" s="21"/>
      <c r="AA462" s="21"/>
      <c r="AC462" s="21"/>
      <c r="AE462" s="21"/>
      <c r="AG462" s="21"/>
      <c r="AI462" s="21"/>
      <c r="AK462" s="21"/>
      <c r="AM462" s="21"/>
      <c r="AN462" s="21"/>
    </row>
    <row r="463">
      <c r="A463" s="21"/>
      <c r="B463" s="21"/>
      <c r="D463" s="21"/>
      <c r="F463" s="21"/>
      <c r="G463" s="21"/>
      <c r="I463" s="21"/>
      <c r="K463" s="21"/>
      <c r="M463" s="21"/>
      <c r="O463" s="21"/>
      <c r="Q463" s="21"/>
      <c r="S463" s="21"/>
      <c r="U463" s="21"/>
      <c r="W463" s="21"/>
      <c r="Y463" s="21"/>
      <c r="AA463" s="21"/>
      <c r="AC463" s="21"/>
      <c r="AE463" s="21"/>
      <c r="AG463" s="21"/>
      <c r="AI463" s="21"/>
      <c r="AK463" s="21"/>
      <c r="AM463" s="21"/>
      <c r="AN463" s="21"/>
    </row>
    <row r="464">
      <c r="A464" s="21"/>
      <c r="B464" s="21"/>
      <c r="D464" s="21"/>
      <c r="F464" s="21"/>
      <c r="G464" s="21"/>
      <c r="I464" s="21"/>
      <c r="K464" s="21"/>
      <c r="M464" s="21"/>
      <c r="O464" s="21"/>
      <c r="Q464" s="21"/>
      <c r="S464" s="21"/>
      <c r="U464" s="21"/>
      <c r="W464" s="21"/>
      <c r="Y464" s="21"/>
      <c r="AA464" s="21"/>
      <c r="AC464" s="21"/>
      <c r="AE464" s="21"/>
      <c r="AG464" s="21"/>
      <c r="AI464" s="21"/>
      <c r="AK464" s="21"/>
      <c r="AM464" s="21"/>
      <c r="AN464" s="21"/>
    </row>
    <row r="465">
      <c r="A465" s="21"/>
      <c r="B465" s="21"/>
      <c r="D465" s="21"/>
      <c r="F465" s="21"/>
      <c r="G465" s="21"/>
      <c r="I465" s="21"/>
      <c r="K465" s="21"/>
      <c r="M465" s="21"/>
      <c r="O465" s="21"/>
      <c r="Q465" s="21"/>
      <c r="S465" s="21"/>
      <c r="U465" s="21"/>
      <c r="W465" s="21"/>
      <c r="Y465" s="21"/>
      <c r="AA465" s="21"/>
      <c r="AC465" s="21"/>
      <c r="AE465" s="21"/>
      <c r="AG465" s="21"/>
      <c r="AI465" s="21"/>
      <c r="AK465" s="21"/>
      <c r="AM465" s="21"/>
      <c r="AN465" s="21"/>
    </row>
    <row r="466">
      <c r="A466" s="21"/>
      <c r="B466" s="21"/>
      <c r="D466" s="21"/>
      <c r="F466" s="21"/>
      <c r="G466" s="21"/>
      <c r="I466" s="21"/>
      <c r="K466" s="21"/>
      <c r="M466" s="21"/>
      <c r="O466" s="21"/>
      <c r="Q466" s="21"/>
      <c r="S466" s="21"/>
      <c r="U466" s="21"/>
      <c r="W466" s="21"/>
      <c r="Y466" s="21"/>
      <c r="AA466" s="21"/>
      <c r="AC466" s="21"/>
      <c r="AE466" s="21"/>
      <c r="AG466" s="21"/>
      <c r="AI466" s="21"/>
      <c r="AK466" s="21"/>
      <c r="AM466" s="21"/>
      <c r="AN466" s="21"/>
    </row>
    <row r="467">
      <c r="A467" s="21"/>
      <c r="B467" s="21"/>
      <c r="D467" s="21"/>
      <c r="F467" s="21"/>
      <c r="G467" s="21"/>
      <c r="I467" s="21"/>
      <c r="K467" s="21"/>
      <c r="M467" s="21"/>
      <c r="O467" s="21"/>
      <c r="Q467" s="21"/>
      <c r="S467" s="21"/>
      <c r="U467" s="21"/>
      <c r="W467" s="21"/>
      <c r="Y467" s="21"/>
      <c r="AA467" s="21"/>
      <c r="AC467" s="21"/>
      <c r="AE467" s="21"/>
      <c r="AG467" s="21"/>
      <c r="AI467" s="21"/>
      <c r="AK467" s="21"/>
      <c r="AM467" s="21"/>
      <c r="AN467" s="21"/>
    </row>
    <row r="468">
      <c r="A468" s="21"/>
      <c r="B468" s="21"/>
      <c r="D468" s="21"/>
      <c r="F468" s="21"/>
      <c r="G468" s="21"/>
      <c r="I468" s="21"/>
      <c r="K468" s="21"/>
      <c r="M468" s="21"/>
      <c r="O468" s="21"/>
      <c r="Q468" s="21"/>
      <c r="S468" s="21"/>
      <c r="U468" s="21"/>
      <c r="W468" s="21"/>
      <c r="Y468" s="21"/>
      <c r="AA468" s="21"/>
      <c r="AC468" s="21"/>
      <c r="AE468" s="21"/>
      <c r="AG468" s="21"/>
      <c r="AI468" s="21"/>
      <c r="AK468" s="21"/>
      <c r="AM468" s="21"/>
      <c r="AN468" s="21"/>
    </row>
    <row r="469">
      <c r="A469" s="21"/>
      <c r="B469" s="21"/>
      <c r="D469" s="21"/>
      <c r="F469" s="21"/>
      <c r="G469" s="21"/>
      <c r="I469" s="21"/>
      <c r="K469" s="21"/>
      <c r="M469" s="21"/>
      <c r="O469" s="21"/>
      <c r="Q469" s="21"/>
      <c r="S469" s="21"/>
      <c r="U469" s="21"/>
      <c r="W469" s="21"/>
      <c r="Y469" s="21"/>
      <c r="AA469" s="21"/>
      <c r="AC469" s="21"/>
      <c r="AE469" s="21"/>
      <c r="AG469" s="21"/>
      <c r="AI469" s="21"/>
      <c r="AK469" s="21"/>
      <c r="AM469" s="21"/>
      <c r="AN469" s="21"/>
    </row>
    <row r="470">
      <c r="A470" s="21"/>
      <c r="B470" s="21"/>
      <c r="D470" s="21"/>
      <c r="F470" s="21"/>
      <c r="G470" s="21"/>
      <c r="I470" s="21"/>
      <c r="K470" s="21"/>
      <c r="M470" s="21"/>
      <c r="O470" s="21"/>
      <c r="Q470" s="21"/>
      <c r="S470" s="21"/>
      <c r="U470" s="21"/>
      <c r="W470" s="21"/>
      <c r="Y470" s="21"/>
      <c r="AA470" s="21"/>
      <c r="AC470" s="21"/>
      <c r="AE470" s="21"/>
      <c r="AG470" s="21"/>
      <c r="AI470" s="21"/>
      <c r="AK470" s="21"/>
      <c r="AM470" s="21"/>
      <c r="AN470" s="21"/>
    </row>
    <row r="471">
      <c r="A471" s="21"/>
      <c r="B471" s="21"/>
      <c r="D471" s="21"/>
      <c r="F471" s="21"/>
      <c r="G471" s="21"/>
      <c r="I471" s="21"/>
      <c r="K471" s="21"/>
      <c r="M471" s="21"/>
      <c r="O471" s="21"/>
      <c r="Q471" s="21"/>
      <c r="S471" s="21"/>
      <c r="U471" s="21"/>
      <c r="W471" s="21"/>
      <c r="Y471" s="21"/>
      <c r="AA471" s="21"/>
      <c r="AC471" s="21"/>
      <c r="AE471" s="21"/>
      <c r="AG471" s="21"/>
      <c r="AI471" s="21"/>
      <c r="AK471" s="21"/>
      <c r="AM471" s="21"/>
      <c r="AN471" s="21"/>
    </row>
    <row r="472">
      <c r="A472" s="21"/>
      <c r="B472" s="21"/>
      <c r="D472" s="21"/>
      <c r="F472" s="21"/>
      <c r="G472" s="21"/>
      <c r="I472" s="21"/>
      <c r="K472" s="21"/>
      <c r="M472" s="21"/>
      <c r="O472" s="21"/>
      <c r="Q472" s="21"/>
      <c r="S472" s="21"/>
      <c r="U472" s="21"/>
      <c r="W472" s="21"/>
      <c r="Y472" s="21"/>
      <c r="AA472" s="21"/>
      <c r="AC472" s="21"/>
      <c r="AE472" s="21"/>
      <c r="AG472" s="21"/>
      <c r="AI472" s="21"/>
      <c r="AK472" s="21"/>
      <c r="AM472" s="21"/>
      <c r="AN472" s="21"/>
    </row>
    <row r="473">
      <c r="A473" s="21"/>
      <c r="B473" s="21"/>
      <c r="D473" s="21"/>
      <c r="F473" s="21"/>
      <c r="G473" s="21"/>
      <c r="I473" s="21"/>
      <c r="K473" s="21"/>
      <c r="M473" s="21"/>
      <c r="O473" s="21"/>
      <c r="Q473" s="21"/>
      <c r="S473" s="21"/>
      <c r="U473" s="21"/>
      <c r="W473" s="21"/>
      <c r="Y473" s="21"/>
      <c r="AA473" s="21"/>
      <c r="AC473" s="21"/>
      <c r="AE473" s="21"/>
      <c r="AG473" s="21"/>
      <c r="AI473" s="21"/>
      <c r="AK473" s="21"/>
      <c r="AM473" s="21"/>
      <c r="AN473" s="21"/>
    </row>
    <row r="474">
      <c r="A474" s="21"/>
      <c r="B474" s="21"/>
      <c r="D474" s="21"/>
      <c r="F474" s="21"/>
      <c r="G474" s="21"/>
      <c r="I474" s="21"/>
      <c r="K474" s="21"/>
      <c r="M474" s="21"/>
      <c r="O474" s="21"/>
      <c r="Q474" s="21"/>
      <c r="S474" s="21"/>
      <c r="U474" s="21"/>
      <c r="W474" s="21"/>
      <c r="Y474" s="21"/>
      <c r="AA474" s="21"/>
      <c r="AC474" s="21"/>
      <c r="AE474" s="21"/>
      <c r="AG474" s="21"/>
      <c r="AI474" s="21"/>
      <c r="AK474" s="21"/>
      <c r="AM474" s="21"/>
      <c r="AN474" s="21"/>
    </row>
    <row r="475">
      <c r="A475" s="21"/>
      <c r="B475" s="21"/>
      <c r="D475" s="21"/>
      <c r="F475" s="21"/>
      <c r="G475" s="21"/>
      <c r="I475" s="21"/>
      <c r="K475" s="21"/>
      <c r="M475" s="21"/>
      <c r="O475" s="21"/>
      <c r="Q475" s="21"/>
      <c r="S475" s="21"/>
      <c r="U475" s="21"/>
      <c r="W475" s="21"/>
      <c r="Y475" s="21"/>
      <c r="AA475" s="21"/>
      <c r="AC475" s="21"/>
      <c r="AE475" s="21"/>
      <c r="AG475" s="21"/>
      <c r="AI475" s="21"/>
      <c r="AK475" s="21"/>
      <c r="AM475" s="21"/>
      <c r="AN475" s="21"/>
    </row>
    <row r="476">
      <c r="A476" s="21"/>
      <c r="B476" s="21"/>
      <c r="D476" s="21"/>
      <c r="F476" s="21"/>
      <c r="G476" s="21"/>
      <c r="I476" s="21"/>
      <c r="K476" s="21"/>
      <c r="M476" s="21"/>
      <c r="O476" s="21"/>
      <c r="Q476" s="21"/>
      <c r="S476" s="21"/>
      <c r="U476" s="21"/>
      <c r="W476" s="21"/>
      <c r="Y476" s="21"/>
      <c r="AA476" s="21"/>
      <c r="AC476" s="21"/>
      <c r="AE476" s="21"/>
      <c r="AG476" s="21"/>
      <c r="AI476" s="21"/>
      <c r="AK476" s="21"/>
      <c r="AM476" s="21"/>
      <c r="AN476" s="21"/>
    </row>
    <row r="477">
      <c r="A477" s="21"/>
      <c r="B477" s="21"/>
      <c r="D477" s="21"/>
      <c r="F477" s="21"/>
      <c r="G477" s="21"/>
      <c r="I477" s="21"/>
      <c r="K477" s="21"/>
      <c r="M477" s="21"/>
      <c r="O477" s="21"/>
      <c r="Q477" s="21"/>
      <c r="S477" s="21"/>
      <c r="U477" s="21"/>
      <c r="W477" s="21"/>
      <c r="Y477" s="21"/>
      <c r="AA477" s="21"/>
      <c r="AC477" s="21"/>
      <c r="AE477" s="21"/>
      <c r="AG477" s="21"/>
      <c r="AI477" s="21"/>
      <c r="AK477" s="21"/>
      <c r="AM477" s="21"/>
      <c r="AN477" s="21"/>
    </row>
    <row r="478">
      <c r="A478" s="21"/>
      <c r="B478" s="21"/>
      <c r="D478" s="21"/>
      <c r="F478" s="21"/>
      <c r="G478" s="21"/>
      <c r="I478" s="21"/>
      <c r="K478" s="21"/>
      <c r="M478" s="21"/>
      <c r="O478" s="21"/>
      <c r="Q478" s="21"/>
      <c r="S478" s="21"/>
      <c r="U478" s="21"/>
      <c r="W478" s="21"/>
      <c r="Y478" s="21"/>
      <c r="AA478" s="21"/>
      <c r="AC478" s="21"/>
      <c r="AE478" s="21"/>
      <c r="AG478" s="21"/>
      <c r="AI478" s="21"/>
      <c r="AK478" s="21"/>
      <c r="AM478" s="21"/>
      <c r="AN478" s="21"/>
    </row>
    <row r="479">
      <c r="A479" s="21"/>
      <c r="B479" s="21"/>
      <c r="D479" s="21"/>
      <c r="F479" s="21"/>
      <c r="G479" s="21"/>
      <c r="I479" s="21"/>
      <c r="K479" s="21"/>
      <c r="M479" s="21"/>
      <c r="O479" s="21"/>
      <c r="Q479" s="21"/>
      <c r="S479" s="21"/>
      <c r="U479" s="21"/>
      <c r="W479" s="21"/>
      <c r="Y479" s="21"/>
      <c r="AA479" s="21"/>
      <c r="AC479" s="21"/>
      <c r="AE479" s="21"/>
      <c r="AG479" s="21"/>
      <c r="AI479" s="21"/>
      <c r="AK479" s="21"/>
      <c r="AM479" s="21"/>
      <c r="AN479" s="21"/>
    </row>
    <row r="480">
      <c r="A480" s="21"/>
      <c r="B480" s="21"/>
      <c r="D480" s="21"/>
      <c r="F480" s="21"/>
      <c r="G480" s="21"/>
      <c r="I480" s="21"/>
      <c r="K480" s="21"/>
      <c r="M480" s="21"/>
      <c r="O480" s="21"/>
      <c r="Q480" s="21"/>
      <c r="S480" s="21"/>
      <c r="U480" s="21"/>
      <c r="W480" s="21"/>
      <c r="Y480" s="21"/>
      <c r="AA480" s="21"/>
      <c r="AC480" s="21"/>
      <c r="AE480" s="21"/>
      <c r="AG480" s="21"/>
      <c r="AI480" s="21"/>
      <c r="AK480" s="21"/>
      <c r="AM480" s="21"/>
      <c r="AN480" s="21"/>
    </row>
    <row r="481">
      <c r="A481" s="21"/>
      <c r="B481" s="21"/>
      <c r="D481" s="21"/>
      <c r="F481" s="21"/>
      <c r="G481" s="21"/>
      <c r="I481" s="21"/>
      <c r="K481" s="21"/>
      <c r="M481" s="21"/>
      <c r="O481" s="21"/>
      <c r="Q481" s="21"/>
      <c r="S481" s="21"/>
      <c r="U481" s="21"/>
      <c r="W481" s="21"/>
      <c r="Y481" s="21"/>
      <c r="AA481" s="21"/>
      <c r="AC481" s="21"/>
      <c r="AE481" s="21"/>
      <c r="AG481" s="21"/>
      <c r="AI481" s="21"/>
      <c r="AK481" s="21"/>
      <c r="AM481" s="21"/>
      <c r="AN481" s="21"/>
    </row>
    <row r="482">
      <c r="A482" s="21"/>
      <c r="B482" s="21"/>
      <c r="D482" s="21"/>
      <c r="F482" s="21"/>
      <c r="G482" s="21"/>
      <c r="I482" s="21"/>
      <c r="K482" s="21"/>
      <c r="M482" s="21"/>
      <c r="O482" s="21"/>
      <c r="Q482" s="21"/>
      <c r="S482" s="21"/>
      <c r="U482" s="21"/>
      <c r="W482" s="21"/>
      <c r="Y482" s="21"/>
      <c r="AA482" s="21"/>
      <c r="AC482" s="21"/>
      <c r="AE482" s="21"/>
      <c r="AG482" s="21"/>
      <c r="AI482" s="21"/>
      <c r="AK482" s="21"/>
      <c r="AM482" s="21"/>
      <c r="AN482" s="21"/>
    </row>
    <row r="483">
      <c r="A483" s="21"/>
      <c r="B483" s="21"/>
      <c r="D483" s="21"/>
      <c r="F483" s="21"/>
      <c r="G483" s="21"/>
      <c r="I483" s="21"/>
      <c r="K483" s="21"/>
      <c r="M483" s="21"/>
      <c r="O483" s="21"/>
      <c r="Q483" s="21"/>
      <c r="S483" s="21"/>
      <c r="U483" s="21"/>
      <c r="W483" s="21"/>
      <c r="Y483" s="21"/>
      <c r="AA483" s="21"/>
      <c r="AC483" s="21"/>
      <c r="AE483" s="21"/>
      <c r="AG483" s="21"/>
      <c r="AI483" s="21"/>
      <c r="AK483" s="21"/>
      <c r="AM483" s="21"/>
      <c r="AN483" s="21"/>
    </row>
    <row r="484">
      <c r="A484" s="21"/>
      <c r="B484" s="21"/>
      <c r="D484" s="21"/>
      <c r="F484" s="21"/>
      <c r="G484" s="21"/>
      <c r="I484" s="21"/>
      <c r="K484" s="21"/>
      <c r="M484" s="21"/>
      <c r="O484" s="21"/>
      <c r="Q484" s="21"/>
      <c r="S484" s="21"/>
      <c r="U484" s="21"/>
      <c r="W484" s="21"/>
      <c r="Y484" s="21"/>
      <c r="AA484" s="21"/>
      <c r="AC484" s="21"/>
      <c r="AE484" s="21"/>
      <c r="AG484" s="21"/>
      <c r="AI484" s="21"/>
      <c r="AK484" s="21"/>
      <c r="AM484" s="21"/>
      <c r="AN484" s="21"/>
    </row>
    <row r="485">
      <c r="A485" s="21"/>
      <c r="B485" s="21"/>
      <c r="D485" s="21"/>
      <c r="F485" s="21"/>
      <c r="G485" s="21"/>
      <c r="I485" s="21"/>
      <c r="K485" s="21"/>
      <c r="M485" s="21"/>
      <c r="O485" s="21"/>
      <c r="Q485" s="21"/>
      <c r="S485" s="21"/>
      <c r="U485" s="21"/>
      <c r="W485" s="21"/>
      <c r="Y485" s="21"/>
      <c r="AA485" s="21"/>
      <c r="AC485" s="21"/>
      <c r="AE485" s="21"/>
      <c r="AG485" s="21"/>
      <c r="AI485" s="21"/>
      <c r="AK485" s="21"/>
      <c r="AM485" s="21"/>
      <c r="AN485" s="21"/>
    </row>
    <row r="486">
      <c r="A486" s="21"/>
      <c r="B486" s="21"/>
      <c r="D486" s="21"/>
      <c r="F486" s="21"/>
      <c r="G486" s="21"/>
      <c r="I486" s="21"/>
      <c r="K486" s="21"/>
      <c r="M486" s="21"/>
      <c r="O486" s="21"/>
      <c r="Q486" s="21"/>
      <c r="S486" s="21"/>
      <c r="U486" s="21"/>
      <c r="W486" s="21"/>
      <c r="Y486" s="21"/>
      <c r="AA486" s="21"/>
      <c r="AC486" s="21"/>
      <c r="AE486" s="21"/>
      <c r="AG486" s="21"/>
      <c r="AI486" s="21"/>
      <c r="AK486" s="21"/>
      <c r="AM486" s="21"/>
      <c r="AN486" s="21"/>
    </row>
    <row r="487">
      <c r="A487" s="21"/>
      <c r="B487" s="21"/>
      <c r="D487" s="21"/>
      <c r="F487" s="21"/>
      <c r="G487" s="21"/>
      <c r="I487" s="21"/>
      <c r="K487" s="21"/>
      <c r="M487" s="21"/>
      <c r="O487" s="21"/>
      <c r="Q487" s="21"/>
      <c r="S487" s="21"/>
      <c r="U487" s="21"/>
      <c r="W487" s="21"/>
      <c r="Y487" s="21"/>
      <c r="AA487" s="21"/>
      <c r="AC487" s="21"/>
      <c r="AE487" s="21"/>
      <c r="AG487" s="21"/>
      <c r="AI487" s="21"/>
      <c r="AK487" s="21"/>
      <c r="AM487" s="21"/>
      <c r="AN487" s="21"/>
    </row>
    <row r="488">
      <c r="A488" s="21"/>
      <c r="B488" s="21"/>
      <c r="D488" s="21"/>
      <c r="F488" s="21"/>
      <c r="G488" s="21"/>
      <c r="I488" s="21"/>
      <c r="K488" s="21"/>
      <c r="M488" s="21"/>
      <c r="O488" s="21"/>
      <c r="Q488" s="21"/>
      <c r="S488" s="21"/>
      <c r="U488" s="21"/>
      <c r="W488" s="21"/>
      <c r="Y488" s="21"/>
      <c r="AA488" s="21"/>
      <c r="AC488" s="21"/>
      <c r="AE488" s="21"/>
      <c r="AG488" s="21"/>
      <c r="AI488" s="21"/>
      <c r="AK488" s="21"/>
      <c r="AM488" s="21"/>
      <c r="AN488" s="21"/>
    </row>
    <row r="489">
      <c r="A489" s="21"/>
      <c r="B489" s="21"/>
      <c r="D489" s="21"/>
      <c r="F489" s="21"/>
      <c r="G489" s="21"/>
      <c r="I489" s="21"/>
      <c r="K489" s="21"/>
      <c r="M489" s="21"/>
      <c r="O489" s="21"/>
      <c r="Q489" s="21"/>
      <c r="S489" s="21"/>
      <c r="U489" s="21"/>
      <c r="W489" s="21"/>
      <c r="Y489" s="21"/>
      <c r="AA489" s="21"/>
      <c r="AC489" s="21"/>
      <c r="AE489" s="21"/>
      <c r="AG489" s="21"/>
      <c r="AI489" s="21"/>
      <c r="AK489" s="21"/>
      <c r="AM489" s="21"/>
      <c r="AN489" s="21"/>
    </row>
    <row r="490">
      <c r="A490" s="21"/>
      <c r="B490" s="21"/>
      <c r="D490" s="21"/>
      <c r="F490" s="21"/>
      <c r="G490" s="21"/>
      <c r="I490" s="21"/>
      <c r="K490" s="21"/>
      <c r="M490" s="21"/>
      <c r="O490" s="21"/>
      <c r="Q490" s="21"/>
      <c r="S490" s="21"/>
      <c r="U490" s="21"/>
      <c r="W490" s="21"/>
      <c r="Y490" s="21"/>
      <c r="AA490" s="21"/>
      <c r="AC490" s="21"/>
      <c r="AE490" s="21"/>
      <c r="AG490" s="21"/>
      <c r="AI490" s="21"/>
      <c r="AK490" s="21"/>
      <c r="AM490" s="21"/>
      <c r="AN490" s="21"/>
    </row>
    <row r="491">
      <c r="A491" s="21"/>
      <c r="B491" s="21"/>
      <c r="D491" s="21"/>
      <c r="F491" s="21"/>
      <c r="G491" s="21"/>
      <c r="I491" s="21"/>
      <c r="K491" s="21"/>
      <c r="M491" s="21"/>
      <c r="O491" s="21"/>
      <c r="Q491" s="21"/>
      <c r="S491" s="21"/>
      <c r="U491" s="21"/>
      <c r="W491" s="21"/>
      <c r="Y491" s="21"/>
      <c r="AA491" s="21"/>
      <c r="AC491" s="21"/>
      <c r="AE491" s="21"/>
      <c r="AG491" s="21"/>
      <c r="AI491" s="21"/>
      <c r="AK491" s="21"/>
      <c r="AM491" s="21"/>
      <c r="AN491" s="21"/>
    </row>
    <row r="492">
      <c r="A492" s="21"/>
      <c r="B492" s="21"/>
      <c r="D492" s="21"/>
      <c r="F492" s="21"/>
      <c r="G492" s="21"/>
      <c r="I492" s="21"/>
      <c r="K492" s="21"/>
      <c r="M492" s="21"/>
      <c r="O492" s="21"/>
      <c r="Q492" s="21"/>
      <c r="S492" s="21"/>
      <c r="U492" s="21"/>
      <c r="W492" s="21"/>
      <c r="Y492" s="21"/>
      <c r="AA492" s="21"/>
      <c r="AC492" s="21"/>
      <c r="AE492" s="21"/>
      <c r="AG492" s="21"/>
      <c r="AI492" s="21"/>
      <c r="AK492" s="21"/>
      <c r="AM492" s="21"/>
      <c r="AN492" s="21"/>
    </row>
    <row r="493">
      <c r="A493" s="21"/>
      <c r="B493" s="21"/>
      <c r="D493" s="21"/>
      <c r="F493" s="21"/>
      <c r="G493" s="21"/>
      <c r="I493" s="21"/>
      <c r="K493" s="21"/>
      <c r="M493" s="21"/>
      <c r="O493" s="21"/>
      <c r="Q493" s="21"/>
      <c r="S493" s="21"/>
      <c r="U493" s="21"/>
      <c r="W493" s="21"/>
      <c r="Y493" s="21"/>
      <c r="AA493" s="21"/>
      <c r="AC493" s="21"/>
      <c r="AE493" s="21"/>
      <c r="AG493" s="21"/>
      <c r="AI493" s="21"/>
      <c r="AK493" s="21"/>
      <c r="AM493" s="21"/>
      <c r="AN493" s="21"/>
    </row>
    <row r="494">
      <c r="A494" s="21"/>
      <c r="B494" s="21"/>
      <c r="D494" s="21"/>
      <c r="F494" s="21"/>
      <c r="G494" s="21"/>
      <c r="I494" s="21"/>
      <c r="K494" s="21"/>
      <c r="M494" s="21"/>
      <c r="O494" s="21"/>
      <c r="Q494" s="21"/>
      <c r="S494" s="21"/>
      <c r="U494" s="21"/>
      <c r="W494" s="21"/>
      <c r="Y494" s="21"/>
      <c r="AA494" s="21"/>
      <c r="AC494" s="21"/>
      <c r="AE494" s="21"/>
      <c r="AG494" s="21"/>
      <c r="AI494" s="21"/>
      <c r="AK494" s="21"/>
      <c r="AM494" s="21"/>
      <c r="AN494" s="21"/>
    </row>
    <row r="495">
      <c r="A495" s="21"/>
      <c r="B495" s="21"/>
      <c r="D495" s="21"/>
      <c r="F495" s="21"/>
      <c r="G495" s="21"/>
      <c r="I495" s="21"/>
      <c r="K495" s="21"/>
      <c r="M495" s="21"/>
      <c r="O495" s="21"/>
      <c r="Q495" s="21"/>
      <c r="S495" s="21"/>
      <c r="U495" s="21"/>
      <c r="W495" s="21"/>
      <c r="Y495" s="21"/>
      <c r="AA495" s="21"/>
      <c r="AC495" s="21"/>
      <c r="AE495" s="21"/>
      <c r="AG495" s="21"/>
      <c r="AI495" s="21"/>
      <c r="AK495" s="21"/>
      <c r="AM495" s="21"/>
      <c r="AN495" s="21"/>
    </row>
    <row r="496">
      <c r="A496" s="21"/>
      <c r="B496" s="21"/>
      <c r="D496" s="21"/>
      <c r="F496" s="21"/>
      <c r="G496" s="21"/>
      <c r="I496" s="21"/>
      <c r="K496" s="21"/>
      <c r="M496" s="21"/>
      <c r="O496" s="21"/>
      <c r="Q496" s="21"/>
      <c r="S496" s="21"/>
      <c r="U496" s="21"/>
      <c r="W496" s="21"/>
      <c r="Y496" s="21"/>
      <c r="AA496" s="21"/>
      <c r="AC496" s="21"/>
      <c r="AE496" s="21"/>
      <c r="AG496" s="21"/>
      <c r="AI496" s="21"/>
      <c r="AK496" s="21"/>
      <c r="AM496" s="21"/>
      <c r="AN496" s="21"/>
    </row>
    <row r="497">
      <c r="A497" s="21"/>
      <c r="B497" s="21"/>
      <c r="D497" s="21"/>
      <c r="F497" s="21"/>
      <c r="G497" s="21"/>
      <c r="I497" s="21"/>
      <c r="K497" s="21"/>
      <c r="M497" s="21"/>
      <c r="O497" s="21"/>
      <c r="Q497" s="21"/>
      <c r="S497" s="21"/>
      <c r="U497" s="21"/>
      <c r="W497" s="21"/>
      <c r="Y497" s="21"/>
      <c r="AA497" s="21"/>
      <c r="AC497" s="21"/>
      <c r="AE497" s="21"/>
      <c r="AG497" s="21"/>
      <c r="AI497" s="21"/>
      <c r="AK497" s="21"/>
      <c r="AM497" s="21"/>
      <c r="AN497" s="21"/>
    </row>
    <row r="498">
      <c r="A498" s="21"/>
      <c r="B498" s="21"/>
      <c r="D498" s="21"/>
      <c r="F498" s="21"/>
      <c r="G498" s="21"/>
      <c r="I498" s="21"/>
      <c r="K498" s="21"/>
      <c r="M498" s="21"/>
      <c r="O498" s="21"/>
      <c r="Q498" s="21"/>
      <c r="S498" s="21"/>
      <c r="U498" s="21"/>
      <c r="W498" s="21"/>
      <c r="Y498" s="21"/>
      <c r="AA498" s="21"/>
      <c r="AC498" s="21"/>
      <c r="AE498" s="21"/>
      <c r="AG498" s="21"/>
      <c r="AI498" s="21"/>
      <c r="AK498" s="21"/>
      <c r="AM498" s="21"/>
      <c r="AN498" s="21"/>
    </row>
    <row r="499">
      <c r="A499" s="21"/>
      <c r="B499" s="21"/>
      <c r="D499" s="21"/>
      <c r="F499" s="21"/>
      <c r="G499" s="21"/>
      <c r="I499" s="21"/>
      <c r="K499" s="21"/>
      <c r="M499" s="21"/>
      <c r="O499" s="21"/>
      <c r="Q499" s="21"/>
      <c r="S499" s="21"/>
      <c r="U499" s="21"/>
      <c r="W499" s="21"/>
      <c r="Y499" s="21"/>
      <c r="AA499" s="21"/>
      <c r="AC499" s="21"/>
      <c r="AE499" s="21"/>
      <c r="AG499" s="21"/>
      <c r="AI499" s="21"/>
      <c r="AK499" s="21"/>
      <c r="AM499" s="21"/>
      <c r="AN499" s="21"/>
    </row>
    <row r="500">
      <c r="A500" s="21"/>
      <c r="B500" s="21"/>
      <c r="D500" s="21"/>
      <c r="F500" s="21"/>
      <c r="G500" s="21"/>
      <c r="I500" s="21"/>
      <c r="K500" s="21"/>
      <c r="M500" s="21"/>
      <c r="O500" s="21"/>
      <c r="Q500" s="21"/>
      <c r="S500" s="21"/>
      <c r="U500" s="21"/>
      <c r="W500" s="21"/>
      <c r="Y500" s="21"/>
      <c r="AA500" s="21"/>
      <c r="AC500" s="21"/>
      <c r="AE500" s="21"/>
      <c r="AG500" s="21"/>
      <c r="AI500" s="21"/>
      <c r="AK500" s="21"/>
      <c r="AM500" s="21"/>
      <c r="AN500" s="21"/>
    </row>
    <row r="501">
      <c r="A501" s="21"/>
      <c r="B501" s="21"/>
      <c r="D501" s="21"/>
      <c r="F501" s="21"/>
      <c r="G501" s="21"/>
      <c r="I501" s="21"/>
      <c r="K501" s="21"/>
      <c r="M501" s="21"/>
      <c r="O501" s="21"/>
      <c r="Q501" s="21"/>
      <c r="S501" s="21"/>
      <c r="U501" s="21"/>
      <c r="W501" s="21"/>
      <c r="Y501" s="21"/>
      <c r="AA501" s="21"/>
      <c r="AC501" s="21"/>
      <c r="AE501" s="21"/>
      <c r="AG501" s="21"/>
      <c r="AI501" s="21"/>
      <c r="AK501" s="21"/>
      <c r="AM501" s="21"/>
      <c r="AN501" s="21"/>
    </row>
    <row r="502">
      <c r="A502" s="21"/>
      <c r="B502" s="21"/>
      <c r="D502" s="21"/>
      <c r="F502" s="21"/>
      <c r="G502" s="21"/>
      <c r="I502" s="21"/>
      <c r="K502" s="21"/>
      <c r="M502" s="21"/>
      <c r="O502" s="21"/>
      <c r="Q502" s="21"/>
      <c r="S502" s="21"/>
      <c r="U502" s="21"/>
      <c r="W502" s="21"/>
      <c r="Y502" s="21"/>
      <c r="AA502" s="21"/>
      <c r="AC502" s="21"/>
      <c r="AE502" s="21"/>
      <c r="AG502" s="21"/>
      <c r="AI502" s="21"/>
      <c r="AK502" s="21"/>
      <c r="AM502" s="21"/>
      <c r="AN502" s="21"/>
    </row>
    <row r="503">
      <c r="A503" s="21"/>
      <c r="B503" s="21"/>
      <c r="D503" s="21"/>
      <c r="F503" s="21"/>
      <c r="G503" s="21"/>
      <c r="I503" s="21"/>
      <c r="K503" s="21"/>
      <c r="M503" s="21"/>
      <c r="O503" s="21"/>
      <c r="Q503" s="21"/>
      <c r="S503" s="21"/>
      <c r="U503" s="21"/>
      <c r="W503" s="21"/>
      <c r="Y503" s="21"/>
      <c r="AA503" s="21"/>
      <c r="AC503" s="21"/>
      <c r="AE503" s="21"/>
      <c r="AG503" s="21"/>
      <c r="AI503" s="21"/>
      <c r="AK503" s="21"/>
      <c r="AM503" s="21"/>
      <c r="AN503" s="21"/>
    </row>
    <row r="504">
      <c r="A504" s="21"/>
      <c r="B504" s="21"/>
      <c r="D504" s="21"/>
      <c r="F504" s="21"/>
      <c r="G504" s="21"/>
      <c r="I504" s="21"/>
      <c r="K504" s="21"/>
      <c r="M504" s="21"/>
      <c r="O504" s="21"/>
      <c r="Q504" s="21"/>
      <c r="S504" s="21"/>
      <c r="U504" s="21"/>
      <c r="W504" s="21"/>
      <c r="Y504" s="21"/>
      <c r="AA504" s="21"/>
      <c r="AC504" s="21"/>
      <c r="AE504" s="21"/>
      <c r="AG504" s="21"/>
      <c r="AI504" s="21"/>
      <c r="AK504" s="21"/>
      <c r="AM504" s="21"/>
      <c r="AN504" s="21"/>
    </row>
    <row r="505">
      <c r="A505" s="21"/>
      <c r="B505" s="21"/>
      <c r="D505" s="21"/>
      <c r="F505" s="21"/>
      <c r="G505" s="21"/>
      <c r="I505" s="21"/>
      <c r="K505" s="21"/>
      <c r="M505" s="21"/>
      <c r="O505" s="21"/>
      <c r="Q505" s="21"/>
      <c r="S505" s="21"/>
      <c r="U505" s="21"/>
      <c r="W505" s="21"/>
      <c r="Y505" s="21"/>
      <c r="AA505" s="21"/>
      <c r="AC505" s="21"/>
      <c r="AE505" s="21"/>
      <c r="AG505" s="21"/>
      <c r="AI505" s="21"/>
      <c r="AK505" s="21"/>
      <c r="AM505" s="21"/>
      <c r="AN505" s="21"/>
    </row>
    <row r="506">
      <c r="A506" s="21"/>
      <c r="B506" s="21"/>
      <c r="D506" s="21"/>
      <c r="F506" s="21"/>
      <c r="G506" s="21"/>
      <c r="I506" s="21"/>
      <c r="K506" s="21"/>
      <c r="M506" s="21"/>
      <c r="O506" s="21"/>
      <c r="Q506" s="21"/>
      <c r="S506" s="21"/>
      <c r="U506" s="21"/>
      <c r="W506" s="21"/>
      <c r="Y506" s="21"/>
      <c r="AA506" s="21"/>
      <c r="AC506" s="21"/>
      <c r="AE506" s="21"/>
      <c r="AG506" s="21"/>
      <c r="AI506" s="21"/>
      <c r="AK506" s="21"/>
      <c r="AM506" s="21"/>
      <c r="AN506" s="21"/>
    </row>
    <row r="507">
      <c r="A507" s="21"/>
      <c r="B507" s="21"/>
      <c r="D507" s="21"/>
      <c r="F507" s="21"/>
      <c r="G507" s="21"/>
      <c r="I507" s="21"/>
      <c r="K507" s="21"/>
      <c r="M507" s="21"/>
      <c r="O507" s="21"/>
      <c r="Q507" s="21"/>
      <c r="S507" s="21"/>
      <c r="U507" s="21"/>
      <c r="W507" s="21"/>
      <c r="Y507" s="21"/>
      <c r="AA507" s="21"/>
      <c r="AC507" s="21"/>
      <c r="AE507" s="21"/>
      <c r="AG507" s="21"/>
      <c r="AI507" s="21"/>
      <c r="AK507" s="21"/>
      <c r="AM507" s="21"/>
      <c r="AN507" s="21"/>
    </row>
    <row r="508">
      <c r="A508" s="21"/>
      <c r="B508" s="21"/>
      <c r="D508" s="21"/>
      <c r="F508" s="21"/>
      <c r="G508" s="21"/>
      <c r="I508" s="21"/>
      <c r="K508" s="21"/>
      <c r="M508" s="21"/>
      <c r="O508" s="21"/>
      <c r="Q508" s="21"/>
      <c r="S508" s="21"/>
      <c r="U508" s="21"/>
      <c r="W508" s="21"/>
      <c r="Y508" s="21"/>
      <c r="AA508" s="21"/>
      <c r="AC508" s="21"/>
      <c r="AE508" s="21"/>
      <c r="AG508" s="21"/>
      <c r="AI508" s="21"/>
      <c r="AK508" s="21"/>
      <c r="AM508" s="21"/>
      <c r="AN508" s="21"/>
    </row>
    <row r="509">
      <c r="A509" s="21"/>
      <c r="B509" s="21"/>
      <c r="D509" s="21"/>
      <c r="F509" s="21"/>
      <c r="G509" s="21"/>
      <c r="I509" s="21"/>
      <c r="K509" s="21"/>
      <c r="M509" s="21"/>
      <c r="O509" s="21"/>
      <c r="Q509" s="21"/>
      <c r="S509" s="21"/>
      <c r="U509" s="21"/>
      <c r="W509" s="21"/>
      <c r="Y509" s="21"/>
      <c r="AA509" s="21"/>
      <c r="AC509" s="21"/>
      <c r="AE509" s="21"/>
      <c r="AG509" s="21"/>
      <c r="AI509" s="21"/>
      <c r="AK509" s="21"/>
      <c r="AM509" s="21"/>
      <c r="AN509" s="21"/>
    </row>
    <row r="510">
      <c r="A510" s="21"/>
      <c r="B510" s="21"/>
      <c r="D510" s="21"/>
      <c r="F510" s="21"/>
      <c r="G510" s="21"/>
      <c r="I510" s="21"/>
      <c r="K510" s="21"/>
      <c r="M510" s="21"/>
      <c r="O510" s="21"/>
      <c r="Q510" s="21"/>
      <c r="S510" s="21"/>
      <c r="U510" s="21"/>
      <c r="W510" s="21"/>
      <c r="Y510" s="21"/>
      <c r="AA510" s="21"/>
      <c r="AC510" s="21"/>
      <c r="AE510" s="21"/>
      <c r="AG510" s="21"/>
      <c r="AI510" s="21"/>
      <c r="AK510" s="21"/>
      <c r="AM510" s="21"/>
      <c r="AN510" s="21"/>
    </row>
    <row r="511">
      <c r="A511" s="21"/>
      <c r="B511" s="21"/>
      <c r="D511" s="21"/>
      <c r="F511" s="21"/>
      <c r="G511" s="21"/>
      <c r="I511" s="21"/>
      <c r="K511" s="21"/>
      <c r="M511" s="21"/>
      <c r="O511" s="21"/>
      <c r="Q511" s="21"/>
      <c r="S511" s="21"/>
      <c r="U511" s="21"/>
      <c r="W511" s="21"/>
      <c r="Y511" s="21"/>
      <c r="AA511" s="21"/>
      <c r="AC511" s="21"/>
      <c r="AE511" s="21"/>
      <c r="AG511" s="21"/>
      <c r="AI511" s="21"/>
      <c r="AK511" s="21"/>
      <c r="AM511" s="21"/>
      <c r="AN511" s="21"/>
    </row>
    <row r="512">
      <c r="A512" s="21"/>
      <c r="B512" s="21"/>
      <c r="D512" s="21"/>
      <c r="F512" s="21"/>
      <c r="G512" s="21"/>
      <c r="I512" s="21"/>
      <c r="K512" s="21"/>
      <c r="M512" s="21"/>
      <c r="O512" s="21"/>
      <c r="Q512" s="21"/>
      <c r="S512" s="21"/>
      <c r="U512" s="21"/>
      <c r="W512" s="21"/>
      <c r="Y512" s="21"/>
      <c r="AA512" s="21"/>
      <c r="AC512" s="21"/>
      <c r="AE512" s="21"/>
      <c r="AG512" s="21"/>
      <c r="AI512" s="21"/>
      <c r="AK512" s="21"/>
      <c r="AM512" s="21"/>
      <c r="AN512" s="21"/>
    </row>
    <row r="513">
      <c r="A513" s="21"/>
      <c r="B513" s="21"/>
      <c r="D513" s="21"/>
      <c r="F513" s="21"/>
      <c r="G513" s="21"/>
      <c r="I513" s="21"/>
      <c r="K513" s="21"/>
      <c r="M513" s="21"/>
      <c r="O513" s="21"/>
      <c r="Q513" s="21"/>
      <c r="S513" s="21"/>
      <c r="U513" s="21"/>
      <c r="W513" s="21"/>
      <c r="Y513" s="21"/>
      <c r="AA513" s="21"/>
      <c r="AC513" s="21"/>
      <c r="AE513" s="21"/>
      <c r="AG513" s="21"/>
      <c r="AI513" s="21"/>
      <c r="AK513" s="21"/>
      <c r="AM513" s="21"/>
      <c r="AN513" s="21"/>
    </row>
    <row r="514">
      <c r="A514" s="21"/>
      <c r="B514" s="21"/>
      <c r="D514" s="21"/>
      <c r="F514" s="21"/>
      <c r="G514" s="21"/>
      <c r="I514" s="21"/>
      <c r="K514" s="21"/>
      <c r="M514" s="21"/>
      <c r="O514" s="21"/>
      <c r="Q514" s="21"/>
      <c r="S514" s="21"/>
      <c r="U514" s="21"/>
      <c r="W514" s="21"/>
      <c r="Y514" s="21"/>
      <c r="AA514" s="21"/>
      <c r="AC514" s="21"/>
      <c r="AE514" s="21"/>
      <c r="AG514" s="21"/>
      <c r="AI514" s="21"/>
      <c r="AK514" s="21"/>
      <c r="AM514" s="21"/>
      <c r="AN514" s="21"/>
    </row>
    <row r="515">
      <c r="A515" s="21"/>
      <c r="B515" s="21"/>
      <c r="D515" s="21"/>
      <c r="F515" s="21"/>
      <c r="G515" s="21"/>
      <c r="I515" s="21"/>
      <c r="K515" s="21"/>
      <c r="M515" s="21"/>
      <c r="O515" s="21"/>
      <c r="Q515" s="21"/>
      <c r="S515" s="21"/>
      <c r="U515" s="21"/>
      <c r="W515" s="21"/>
      <c r="Y515" s="21"/>
      <c r="AA515" s="21"/>
      <c r="AC515" s="21"/>
      <c r="AE515" s="21"/>
      <c r="AG515" s="21"/>
      <c r="AI515" s="21"/>
      <c r="AK515" s="21"/>
      <c r="AM515" s="21"/>
      <c r="AN515" s="21"/>
    </row>
    <row r="516">
      <c r="A516" s="21"/>
      <c r="B516" s="21"/>
      <c r="D516" s="21"/>
      <c r="F516" s="21"/>
      <c r="G516" s="21"/>
      <c r="I516" s="21"/>
      <c r="K516" s="21"/>
      <c r="M516" s="21"/>
      <c r="O516" s="21"/>
      <c r="Q516" s="21"/>
      <c r="S516" s="21"/>
      <c r="U516" s="21"/>
      <c r="W516" s="21"/>
      <c r="Y516" s="21"/>
      <c r="AA516" s="21"/>
      <c r="AC516" s="21"/>
      <c r="AE516" s="21"/>
      <c r="AG516" s="21"/>
      <c r="AI516" s="21"/>
      <c r="AK516" s="21"/>
      <c r="AM516" s="21"/>
      <c r="AN516" s="21"/>
    </row>
    <row r="517">
      <c r="A517" s="21"/>
      <c r="B517" s="21"/>
      <c r="D517" s="21"/>
      <c r="F517" s="21"/>
      <c r="G517" s="21"/>
      <c r="I517" s="21"/>
      <c r="K517" s="21"/>
      <c r="M517" s="21"/>
      <c r="O517" s="21"/>
      <c r="Q517" s="21"/>
      <c r="S517" s="21"/>
      <c r="U517" s="21"/>
      <c r="W517" s="21"/>
      <c r="Y517" s="21"/>
      <c r="AA517" s="21"/>
      <c r="AC517" s="21"/>
      <c r="AE517" s="21"/>
      <c r="AG517" s="21"/>
      <c r="AI517" s="21"/>
      <c r="AK517" s="21"/>
      <c r="AM517" s="21"/>
      <c r="AN517" s="21"/>
    </row>
    <row r="518">
      <c r="A518" s="21"/>
      <c r="B518" s="21"/>
      <c r="D518" s="21"/>
      <c r="F518" s="21"/>
      <c r="G518" s="21"/>
      <c r="I518" s="21"/>
      <c r="K518" s="21"/>
      <c r="M518" s="21"/>
      <c r="O518" s="21"/>
      <c r="Q518" s="21"/>
      <c r="S518" s="21"/>
      <c r="U518" s="21"/>
      <c r="W518" s="21"/>
      <c r="Y518" s="21"/>
      <c r="AA518" s="21"/>
      <c r="AC518" s="21"/>
      <c r="AE518" s="21"/>
      <c r="AG518" s="21"/>
      <c r="AI518" s="21"/>
      <c r="AK518" s="21"/>
      <c r="AM518" s="21"/>
      <c r="AN518" s="21"/>
    </row>
    <row r="519">
      <c r="A519" s="21"/>
      <c r="B519" s="21"/>
      <c r="D519" s="21"/>
      <c r="F519" s="21"/>
      <c r="G519" s="21"/>
      <c r="I519" s="21"/>
      <c r="K519" s="21"/>
      <c r="M519" s="21"/>
      <c r="O519" s="21"/>
      <c r="Q519" s="21"/>
      <c r="S519" s="21"/>
      <c r="U519" s="21"/>
      <c r="W519" s="21"/>
      <c r="Y519" s="21"/>
      <c r="AA519" s="21"/>
      <c r="AC519" s="21"/>
      <c r="AE519" s="21"/>
      <c r="AG519" s="21"/>
      <c r="AI519" s="21"/>
      <c r="AK519" s="21"/>
      <c r="AM519" s="21"/>
      <c r="AN519" s="21"/>
    </row>
    <row r="520">
      <c r="A520" s="21"/>
      <c r="B520" s="21"/>
      <c r="D520" s="21"/>
      <c r="F520" s="21"/>
      <c r="G520" s="21"/>
      <c r="I520" s="21"/>
      <c r="K520" s="21"/>
      <c r="M520" s="21"/>
      <c r="O520" s="21"/>
      <c r="Q520" s="21"/>
      <c r="S520" s="21"/>
      <c r="U520" s="21"/>
      <c r="W520" s="21"/>
      <c r="Y520" s="21"/>
      <c r="AA520" s="21"/>
      <c r="AC520" s="21"/>
      <c r="AE520" s="21"/>
      <c r="AG520" s="21"/>
      <c r="AI520" s="21"/>
      <c r="AK520" s="21"/>
      <c r="AM520" s="21"/>
      <c r="AN520" s="21"/>
    </row>
    <row r="521">
      <c r="A521" s="21"/>
      <c r="B521" s="21"/>
      <c r="D521" s="21"/>
      <c r="F521" s="21"/>
      <c r="G521" s="21"/>
      <c r="I521" s="21"/>
      <c r="K521" s="21"/>
      <c r="M521" s="21"/>
      <c r="O521" s="21"/>
      <c r="Q521" s="21"/>
      <c r="S521" s="21"/>
      <c r="U521" s="21"/>
      <c r="W521" s="21"/>
      <c r="Y521" s="21"/>
      <c r="AA521" s="21"/>
      <c r="AC521" s="21"/>
      <c r="AE521" s="21"/>
      <c r="AG521" s="21"/>
      <c r="AI521" s="21"/>
      <c r="AK521" s="21"/>
      <c r="AM521" s="21"/>
      <c r="AN521" s="21"/>
    </row>
    <row r="522">
      <c r="A522" s="21"/>
      <c r="B522" s="21"/>
      <c r="D522" s="21"/>
      <c r="F522" s="21"/>
      <c r="G522" s="21"/>
      <c r="I522" s="21"/>
      <c r="K522" s="21"/>
      <c r="M522" s="21"/>
      <c r="O522" s="21"/>
      <c r="Q522" s="21"/>
      <c r="S522" s="21"/>
      <c r="U522" s="21"/>
      <c r="W522" s="21"/>
      <c r="Y522" s="21"/>
      <c r="AA522" s="21"/>
      <c r="AC522" s="21"/>
      <c r="AE522" s="21"/>
      <c r="AG522" s="21"/>
      <c r="AI522" s="21"/>
      <c r="AK522" s="21"/>
      <c r="AM522" s="21"/>
      <c r="AN522" s="21"/>
    </row>
    <row r="523">
      <c r="A523" s="21"/>
      <c r="B523" s="21"/>
      <c r="D523" s="21"/>
      <c r="F523" s="21"/>
      <c r="G523" s="21"/>
      <c r="I523" s="21"/>
      <c r="K523" s="21"/>
      <c r="M523" s="21"/>
      <c r="O523" s="21"/>
      <c r="Q523" s="21"/>
      <c r="S523" s="21"/>
      <c r="U523" s="21"/>
      <c r="W523" s="21"/>
      <c r="Y523" s="21"/>
      <c r="AA523" s="21"/>
      <c r="AC523" s="21"/>
      <c r="AE523" s="21"/>
      <c r="AG523" s="21"/>
      <c r="AI523" s="21"/>
      <c r="AK523" s="21"/>
      <c r="AM523" s="21"/>
      <c r="AN523" s="21"/>
    </row>
    <row r="524">
      <c r="A524" s="21"/>
      <c r="B524" s="21"/>
      <c r="D524" s="21"/>
      <c r="F524" s="21"/>
      <c r="G524" s="21"/>
      <c r="I524" s="21"/>
      <c r="K524" s="21"/>
      <c r="M524" s="21"/>
      <c r="O524" s="21"/>
      <c r="Q524" s="21"/>
      <c r="S524" s="21"/>
      <c r="U524" s="21"/>
      <c r="W524" s="21"/>
      <c r="Y524" s="21"/>
      <c r="AA524" s="21"/>
      <c r="AC524" s="21"/>
      <c r="AE524" s="21"/>
      <c r="AG524" s="21"/>
      <c r="AI524" s="21"/>
      <c r="AK524" s="21"/>
      <c r="AM524" s="21"/>
      <c r="AN524" s="21"/>
    </row>
    <row r="525">
      <c r="A525" s="21"/>
      <c r="B525" s="21"/>
      <c r="D525" s="21"/>
      <c r="F525" s="21"/>
      <c r="G525" s="21"/>
      <c r="I525" s="21"/>
      <c r="K525" s="21"/>
      <c r="M525" s="21"/>
      <c r="O525" s="21"/>
      <c r="Q525" s="21"/>
      <c r="S525" s="21"/>
      <c r="U525" s="21"/>
      <c r="W525" s="21"/>
      <c r="Y525" s="21"/>
      <c r="AA525" s="21"/>
      <c r="AC525" s="21"/>
      <c r="AE525" s="21"/>
      <c r="AG525" s="21"/>
      <c r="AI525" s="21"/>
      <c r="AK525" s="21"/>
      <c r="AM525" s="21"/>
      <c r="AN525" s="21"/>
    </row>
    <row r="526">
      <c r="A526" s="21"/>
      <c r="B526" s="21"/>
      <c r="D526" s="21"/>
      <c r="F526" s="21"/>
      <c r="G526" s="21"/>
      <c r="I526" s="21"/>
      <c r="K526" s="21"/>
      <c r="M526" s="21"/>
      <c r="O526" s="21"/>
      <c r="Q526" s="21"/>
      <c r="S526" s="21"/>
      <c r="U526" s="21"/>
      <c r="W526" s="21"/>
      <c r="Y526" s="21"/>
      <c r="AA526" s="21"/>
      <c r="AC526" s="21"/>
      <c r="AE526" s="21"/>
      <c r="AG526" s="21"/>
      <c r="AI526" s="21"/>
      <c r="AK526" s="21"/>
      <c r="AM526" s="21"/>
      <c r="AN526" s="21"/>
    </row>
    <row r="527">
      <c r="A527" s="21"/>
      <c r="B527" s="21"/>
      <c r="D527" s="21"/>
      <c r="F527" s="21"/>
      <c r="G527" s="21"/>
      <c r="I527" s="21"/>
      <c r="K527" s="21"/>
      <c r="M527" s="21"/>
      <c r="O527" s="21"/>
      <c r="Q527" s="21"/>
      <c r="S527" s="21"/>
      <c r="U527" s="21"/>
      <c r="W527" s="21"/>
      <c r="Y527" s="21"/>
      <c r="AA527" s="21"/>
      <c r="AC527" s="21"/>
      <c r="AE527" s="21"/>
      <c r="AG527" s="21"/>
      <c r="AI527" s="21"/>
      <c r="AK527" s="21"/>
      <c r="AM527" s="21"/>
      <c r="AN527" s="21"/>
    </row>
    <row r="528">
      <c r="A528" s="21"/>
      <c r="B528" s="21"/>
      <c r="D528" s="21"/>
      <c r="F528" s="21"/>
      <c r="G528" s="21"/>
      <c r="I528" s="21"/>
      <c r="K528" s="21"/>
      <c r="M528" s="21"/>
      <c r="O528" s="21"/>
      <c r="Q528" s="21"/>
      <c r="S528" s="21"/>
      <c r="U528" s="21"/>
      <c r="W528" s="21"/>
      <c r="Y528" s="21"/>
      <c r="AA528" s="21"/>
      <c r="AC528" s="21"/>
      <c r="AE528" s="21"/>
      <c r="AG528" s="21"/>
      <c r="AI528" s="21"/>
      <c r="AK528" s="21"/>
      <c r="AM528" s="21"/>
      <c r="AN528" s="21"/>
    </row>
    <row r="529">
      <c r="A529" s="21"/>
      <c r="B529" s="21"/>
      <c r="D529" s="21"/>
      <c r="F529" s="21"/>
      <c r="G529" s="21"/>
      <c r="I529" s="21"/>
      <c r="K529" s="21"/>
      <c r="M529" s="21"/>
      <c r="O529" s="21"/>
      <c r="Q529" s="21"/>
      <c r="S529" s="21"/>
      <c r="U529" s="21"/>
      <c r="W529" s="21"/>
      <c r="Y529" s="21"/>
      <c r="AA529" s="21"/>
      <c r="AC529" s="21"/>
      <c r="AE529" s="21"/>
      <c r="AG529" s="21"/>
      <c r="AI529" s="21"/>
      <c r="AK529" s="21"/>
      <c r="AM529" s="21"/>
      <c r="AN529" s="21"/>
    </row>
    <row r="530">
      <c r="A530" s="21"/>
      <c r="B530" s="21"/>
      <c r="D530" s="21"/>
      <c r="F530" s="21"/>
      <c r="G530" s="21"/>
      <c r="I530" s="21"/>
      <c r="K530" s="21"/>
      <c r="M530" s="21"/>
      <c r="O530" s="21"/>
      <c r="Q530" s="21"/>
      <c r="S530" s="21"/>
      <c r="U530" s="21"/>
      <c r="W530" s="21"/>
      <c r="Y530" s="21"/>
      <c r="AA530" s="21"/>
      <c r="AC530" s="21"/>
      <c r="AE530" s="21"/>
      <c r="AG530" s="21"/>
      <c r="AI530" s="21"/>
      <c r="AK530" s="21"/>
      <c r="AM530" s="21"/>
      <c r="AN530" s="21"/>
    </row>
    <row r="531">
      <c r="A531" s="21"/>
      <c r="B531" s="21"/>
      <c r="D531" s="21"/>
      <c r="F531" s="21"/>
      <c r="G531" s="21"/>
      <c r="I531" s="21"/>
      <c r="K531" s="21"/>
      <c r="M531" s="21"/>
      <c r="O531" s="21"/>
      <c r="Q531" s="21"/>
      <c r="S531" s="21"/>
      <c r="U531" s="21"/>
      <c r="W531" s="21"/>
      <c r="Y531" s="21"/>
      <c r="AA531" s="21"/>
      <c r="AC531" s="21"/>
      <c r="AE531" s="21"/>
      <c r="AG531" s="21"/>
      <c r="AI531" s="21"/>
      <c r="AK531" s="21"/>
      <c r="AM531" s="21"/>
      <c r="AN531" s="21"/>
    </row>
    <row r="532">
      <c r="A532" s="21"/>
      <c r="B532" s="21"/>
      <c r="D532" s="21"/>
      <c r="F532" s="21"/>
      <c r="G532" s="21"/>
      <c r="I532" s="21"/>
      <c r="K532" s="21"/>
      <c r="M532" s="21"/>
      <c r="O532" s="21"/>
      <c r="Q532" s="21"/>
      <c r="S532" s="21"/>
      <c r="U532" s="21"/>
      <c r="W532" s="21"/>
      <c r="Y532" s="21"/>
      <c r="AA532" s="21"/>
      <c r="AC532" s="21"/>
      <c r="AE532" s="21"/>
      <c r="AG532" s="21"/>
      <c r="AI532" s="21"/>
      <c r="AK532" s="21"/>
      <c r="AM532" s="21"/>
      <c r="AN532" s="21"/>
    </row>
    <row r="533">
      <c r="A533" s="21"/>
      <c r="B533" s="21"/>
      <c r="D533" s="21"/>
      <c r="F533" s="21"/>
      <c r="G533" s="21"/>
      <c r="I533" s="21"/>
      <c r="K533" s="21"/>
      <c r="M533" s="21"/>
      <c r="O533" s="21"/>
      <c r="Q533" s="21"/>
      <c r="S533" s="21"/>
      <c r="U533" s="21"/>
      <c r="W533" s="21"/>
      <c r="Y533" s="21"/>
      <c r="AA533" s="21"/>
      <c r="AC533" s="21"/>
      <c r="AE533" s="21"/>
      <c r="AG533" s="21"/>
      <c r="AI533" s="21"/>
      <c r="AK533" s="21"/>
      <c r="AM533" s="21"/>
      <c r="AN533" s="21"/>
    </row>
    <row r="534">
      <c r="A534" s="21"/>
      <c r="B534" s="21"/>
      <c r="D534" s="21"/>
      <c r="F534" s="21"/>
      <c r="G534" s="21"/>
      <c r="I534" s="21"/>
      <c r="K534" s="21"/>
      <c r="M534" s="21"/>
      <c r="O534" s="21"/>
      <c r="Q534" s="21"/>
      <c r="S534" s="21"/>
      <c r="U534" s="21"/>
      <c r="W534" s="21"/>
      <c r="Y534" s="21"/>
      <c r="AA534" s="21"/>
      <c r="AC534" s="21"/>
      <c r="AE534" s="21"/>
      <c r="AG534" s="21"/>
      <c r="AI534" s="21"/>
      <c r="AK534" s="21"/>
      <c r="AM534" s="21"/>
      <c r="AN534" s="21"/>
    </row>
    <row r="535">
      <c r="A535" s="21"/>
      <c r="B535" s="21"/>
      <c r="D535" s="21"/>
      <c r="F535" s="21"/>
      <c r="G535" s="21"/>
      <c r="I535" s="21"/>
      <c r="K535" s="21"/>
      <c r="M535" s="21"/>
      <c r="O535" s="21"/>
      <c r="Q535" s="21"/>
      <c r="S535" s="21"/>
      <c r="U535" s="21"/>
      <c r="W535" s="21"/>
      <c r="Y535" s="21"/>
      <c r="AA535" s="21"/>
      <c r="AC535" s="21"/>
      <c r="AE535" s="21"/>
      <c r="AG535" s="21"/>
      <c r="AI535" s="21"/>
      <c r="AK535" s="21"/>
      <c r="AM535" s="21"/>
      <c r="AN535" s="21"/>
    </row>
    <row r="536">
      <c r="A536" s="21"/>
      <c r="B536" s="21"/>
      <c r="D536" s="21"/>
      <c r="F536" s="21"/>
      <c r="G536" s="21"/>
      <c r="I536" s="21"/>
      <c r="K536" s="21"/>
      <c r="M536" s="21"/>
      <c r="O536" s="21"/>
      <c r="Q536" s="21"/>
      <c r="S536" s="21"/>
      <c r="U536" s="21"/>
      <c r="W536" s="21"/>
      <c r="Y536" s="21"/>
      <c r="AA536" s="21"/>
      <c r="AC536" s="21"/>
      <c r="AE536" s="21"/>
      <c r="AG536" s="21"/>
      <c r="AI536" s="21"/>
      <c r="AK536" s="21"/>
      <c r="AM536" s="21"/>
      <c r="AN536" s="21"/>
    </row>
    <row r="537">
      <c r="A537" s="21"/>
      <c r="B537" s="21"/>
      <c r="D537" s="21"/>
      <c r="F537" s="21"/>
      <c r="G537" s="21"/>
      <c r="I537" s="21"/>
      <c r="K537" s="21"/>
      <c r="M537" s="21"/>
      <c r="O537" s="21"/>
      <c r="Q537" s="21"/>
      <c r="S537" s="21"/>
      <c r="U537" s="21"/>
      <c r="W537" s="21"/>
      <c r="Y537" s="21"/>
      <c r="AA537" s="21"/>
      <c r="AC537" s="21"/>
      <c r="AE537" s="21"/>
      <c r="AG537" s="21"/>
      <c r="AI537" s="21"/>
      <c r="AK537" s="21"/>
      <c r="AM537" s="21"/>
      <c r="AN537" s="21"/>
    </row>
    <row r="538">
      <c r="A538" s="21"/>
      <c r="B538" s="21"/>
      <c r="D538" s="21"/>
      <c r="F538" s="21"/>
      <c r="G538" s="21"/>
      <c r="I538" s="21"/>
      <c r="K538" s="21"/>
      <c r="M538" s="21"/>
      <c r="O538" s="21"/>
      <c r="Q538" s="21"/>
      <c r="S538" s="21"/>
      <c r="U538" s="21"/>
      <c r="W538" s="21"/>
      <c r="Y538" s="21"/>
      <c r="AA538" s="21"/>
      <c r="AC538" s="21"/>
      <c r="AE538" s="21"/>
      <c r="AG538" s="21"/>
      <c r="AI538" s="21"/>
      <c r="AK538" s="21"/>
      <c r="AM538" s="21"/>
      <c r="AN538" s="21"/>
    </row>
    <row r="539">
      <c r="A539" s="21"/>
      <c r="B539" s="21"/>
      <c r="D539" s="21"/>
      <c r="F539" s="21"/>
      <c r="G539" s="21"/>
      <c r="I539" s="21"/>
      <c r="K539" s="21"/>
      <c r="M539" s="21"/>
      <c r="O539" s="21"/>
      <c r="Q539" s="21"/>
      <c r="S539" s="21"/>
      <c r="U539" s="21"/>
      <c r="W539" s="21"/>
      <c r="Y539" s="21"/>
      <c r="AA539" s="21"/>
      <c r="AC539" s="21"/>
      <c r="AE539" s="21"/>
      <c r="AG539" s="21"/>
      <c r="AI539" s="21"/>
      <c r="AK539" s="21"/>
      <c r="AM539" s="21"/>
      <c r="AN539" s="21"/>
    </row>
    <row r="540">
      <c r="A540" s="21"/>
      <c r="B540" s="21"/>
      <c r="D540" s="21"/>
      <c r="F540" s="21"/>
      <c r="G540" s="21"/>
      <c r="I540" s="21"/>
      <c r="K540" s="21"/>
      <c r="M540" s="21"/>
      <c r="O540" s="21"/>
      <c r="Q540" s="21"/>
      <c r="S540" s="21"/>
      <c r="U540" s="21"/>
      <c r="W540" s="21"/>
      <c r="Y540" s="21"/>
      <c r="AA540" s="21"/>
      <c r="AC540" s="21"/>
      <c r="AE540" s="21"/>
      <c r="AG540" s="21"/>
      <c r="AI540" s="21"/>
      <c r="AK540" s="21"/>
      <c r="AM540" s="21"/>
      <c r="AN540" s="21"/>
    </row>
    <row r="541">
      <c r="A541" s="21"/>
      <c r="B541" s="21"/>
      <c r="D541" s="21"/>
      <c r="F541" s="21"/>
      <c r="G541" s="21"/>
      <c r="I541" s="21"/>
      <c r="K541" s="21"/>
      <c r="M541" s="21"/>
      <c r="O541" s="21"/>
      <c r="Q541" s="21"/>
      <c r="S541" s="21"/>
      <c r="U541" s="21"/>
      <c r="W541" s="21"/>
      <c r="Y541" s="21"/>
      <c r="AA541" s="21"/>
      <c r="AC541" s="21"/>
      <c r="AE541" s="21"/>
      <c r="AG541" s="21"/>
      <c r="AI541" s="21"/>
      <c r="AK541" s="21"/>
      <c r="AM541" s="21"/>
      <c r="AN541" s="21"/>
    </row>
    <row r="542">
      <c r="A542" s="21"/>
      <c r="B542" s="21"/>
      <c r="D542" s="21"/>
      <c r="F542" s="21"/>
      <c r="G542" s="21"/>
      <c r="I542" s="21"/>
      <c r="K542" s="21"/>
      <c r="M542" s="21"/>
      <c r="O542" s="21"/>
      <c r="Q542" s="21"/>
      <c r="S542" s="21"/>
      <c r="U542" s="21"/>
      <c r="W542" s="21"/>
      <c r="Y542" s="21"/>
      <c r="AA542" s="21"/>
      <c r="AC542" s="21"/>
      <c r="AE542" s="21"/>
      <c r="AG542" s="21"/>
      <c r="AI542" s="21"/>
      <c r="AK542" s="21"/>
      <c r="AM542" s="21"/>
      <c r="AN542" s="21"/>
    </row>
    <row r="543">
      <c r="A543" s="21"/>
      <c r="B543" s="21"/>
      <c r="D543" s="21"/>
      <c r="F543" s="21"/>
      <c r="G543" s="21"/>
      <c r="I543" s="21"/>
      <c r="K543" s="21"/>
      <c r="M543" s="21"/>
      <c r="O543" s="21"/>
      <c r="Q543" s="21"/>
      <c r="S543" s="21"/>
      <c r="U543" s="21"/>
      <c r="W543" s="21"/>
      <c r="Y543" s="21"/>
      <c r="AA543" s="21"/>
      <c r="AC543" s="21"/>
      <c r="AE543" s="21"/>
      <c r="AG543" s="21"/>
      <c r="AI543" s="21"/>
      <c r="AK543" s="21"/>
      <c r="AM543" s="21"/>
      <c r="AN543" s="21"/>
    </row>
    <row r="544">
      <c r="A544" s="21"/>
      <c r="B544" s="21"/>
      <c r="D544" s="21"/>
      <c r="F544" s="21"/>
      <c r="G544" s="21"/>
      <c r="I544" s="21"/>
      <c r="K544" s="21"/>
      <c r="M544" s="21"/>
      <c r="O544" s="21"/>
      <c r="Q544" s="21"/>
      <c r="S544" s="21"/>
      <c r="U544" s="21"/>
      <c r="W544" s="21"/>
      <c r="Y544" s="21"/>
      <c r="AA544" s="21"/>
      <c r="AC544" s="21"/>
      <c r="AE544" s="21"/>
      <c r="AG544" s="21"/>
      <c r="AI544" s="21"/>
      <c r="AK544" s="21"/>
      <c r="AM544" s="21"/>
      <c r="AN544" s="21"/>
    </row>
    <row r="545">
      <c r="A545" s="21"/>
      <c r="B545" s="21"/>
      <c r="D545" s="21"/>
      <c r="F545" s="21"/>
      <c r="G545" s="21"/>
      <c r="I545" s="21"/>
      <c r="K545" s="21"/>
      <c r="M545" s="21"/>
      <c r="O545" s="21"/>
      <c r="Q545" s="21"/>
      <c r="S545" s="21"/>
      <c r="U545" s="21"/>
      <c r="W545" s="21"/>
      <c r="Y545" s="21"/>
      <c r="AA545" s="21"/>
      <c r="AC545" s="21"/>
      <c r="AE545" s="21"/>
      <c r="AG545" s="21"/>
      <c r="AI545" s="21"/>
      <c r="AK545" s="21"/>
      <c r="AM545" s="21"/>
      <c r="AN545" s="21"/>
    </row>
    <row r="546">
      <c r="A546" s="21"/>
      <c r="B546" s="21"/>
      <c r="D546" s="21"/>
      <c r="F546" s="21"/>
      <c r="G546" s="21"/>
      <c r="I546" s="21"/>
      <c r="K546" s="21"/>
      <c r="M546" s="21"/>
      <c r="O546" s="21"/>
      <c r="Q546" s="21"/>
      <c r="S546" s="21"/>
      <c r="U546" s="21"/>
      <c r="W546" s="21"/>
      <c r="Y546" s="21"/>
      <c r="AA546" s="21"/>
      <c r="AC546" s="21"/>
      <c r="AE546" s="21"/>
      <c r="AG546" s="21"/>
      <c r="AI546" s="21"/>
      <c r="AK546" s="21"/>
      <c r="AM546" s="21"/>
      <c r="AN546" s="21"/>
    </row>
    <row r="547">
      <c r="A547" s="21"/>
      <c r="B547" s="21"/>
      <c r="D547" s="21"/>
      <c r="F547" s="21"/>
      <c r="G547" s="21"/>
      <c r="I547" s="21"/>
      <c r="K547" s="21"/>
      <c r="M547" s="21"/>
      <c r="O547" s="21"/>
      <c r="Q547" s="21"/>
      <c r="S547" s="21"/>
      <c r="U547" s="21"/>
      <c r="W547" s="21"/>
      <c r="Y547" s="21"/>
      <c r="AA547" s="21"/>
      <c r="AC547" s="21"/>
      <c r="AE547" s="21"/>
      <c r="AG547" s="21"/>
      <c r="AI547" s="21"/>
      <c r="AK547" s="21"/>
      <c r="AM547" s="21"/>
      <c r="AN547" s="21"/>
    </row>
    <row r="548">
      <c r="A548" s="21"/>
      <c r="B548" s="21"/>
      <c r="D548" s="21"/>
      <c r="F548" s="21"/>
      <c r="G548" s="21"/>
      <c r="I548" s="21"/>
      <c r="K548" s="21"/>
      <c r="M548" s="21"/>
      <c r="O548" s="21"/>
      <c r="Q548" s="21"/>
      <c r="S548" s="21"/>
      <c r="U548" s="21"/>
      <c r="W548" s="21"/>
      <c r="Y548" s="21"/>
      <c r="AA548" s="21"/>
      <c r="AC548" s="21"/>
      <c r="AE548" s="21"/>
      <c r="AG548" s="21"/>
      <c r="AI548" s="21"/>
      <c r="AK548" s="21"/>
      <c r="AM548" s="21"/>
      <c r="AN548" s="21"/>
    </row>
    <row r="549">
      <c r="A549" s="21"/>
      <c r="B549" s="21"/>
      <c r="D549" s="21"/>
      <c r="F549" s="21"/>
      <c r="G549" s="21"/>
      <c r="I549" s="21"/>
      <c r="K549" s="21"/>
      <c r="M549" s="21"/>
      <c r="O549" s="21"/>
      <c r="Q549" s="21"/>
      <c r="S549" s="21"/>
      <c r="U549" s="21"/>
      <c r="W549" s="21"/>
      <c r="Y549" s="21"/>
      <c r="AA549" s="21"/>
      <c r="AC549" s="21"/>
      <c r="AE549" s="21"/>
      <c r="AG549" s="21"/>
      <c r="AI549" s="21"/>
      <c r="AK549" s="21"/>
      <c r="AM549" s="21"/>
      <c r="AN549" s="21"/>
    </row>
    <row r="550">
      <c r="A550" s="21"/>
      <c r="B550" s="21"/>
      <c r="D550" s="21"/>
      <c r="F550" s="21"/>
      <c r="G550" s="21"/>
      <c r="I550" s="21"/>
      <c r="K550" s="21"/>
      <c r="M550" s="21"/>
      <c r="O550" s="21"/>
      <c r="Q550" s="21"/>
      <c r="S550" s="21"/>
      <c r="U550" s="21"/>
      <c r="W550" s="21"/>
      <c r="Y550" s="21"/>
      <c r="AA550" s="21"/>
      <c r="AC550" s="21"/>
      <c r="AE550" s="21"/>
      <c r="AG550" s="21"/>
      <c r="AI550" s="21"/>
      <c r="AK550" s="21"/>
      <c r="AM550" s="21"/>
      <c r="AN550" s="21"/>
    </row>
    <row r="551">
      <c r="A551" s="21"/>
      <c r="B551" s="21"/>
      <c r="D551" s="21"/>
      <c r="F551" s="21"/>
      <c r="G551" s="21"/>
      <c r="I551" s="21"/>
      <c r="K551" s="21"/>
      <c r="M551" s="21"/>
      <c r="O551" s="21"/>
      <c r="Q551" s="21"/>
      <c r="S551" s="21"/>
      <c r="U551" s="21"/>
      <c r="W551" s="21"/>
      <c r="Y551" s="21"/>
      <c r="AA551" s="21"/>
      <c r="AC551" s="21"/>
      <c r="AE551" s="21"/>
      <c r="AG551" s="21"/>
      <c r="AI551" s="21"/>
      <c r="AK551" s="21"/>
      <c r="AM551" s="21"/>
      <c r="AN551" s="21"/>
    </row>
    <row r="552">
      <c r="A552" s="21"/>
      <c r="B552" s="21"/>
      <c r="D552" s="21"/>
      <c r="F552" s="21"/>
      <c r="G552" s="21"/>
      <c r="I552" s="21"/>
      <c r="K552" s="21"/>
      <c r="M552" s="21"/>
      <c r="O552" s="21"/>
      <c r="Q552" s="21"/>
      <c r="S552" s="21"/>
      <c r="U552" s="21"/>
      <c r="W552" s="21"/>
      <c r="Y552" s="21"/>
      <c r="AA552" s="21"/>
      <c r="AC552" s="21"/>
      <c r="AE552" s="21"/>
      <c r="AG552" s="21"/>
      <c r="AI552" s="21"/>
      <c r="AK552" s="21"/>
      <c r="AM552" s="21"/>
      <c r="AN552" s="21"/>
    </row>
    <row r="553">
      <c r="A553" s="21"/>
      <c r="B553" s="21"/>
      <c r="D553" s="21"/>
      <c r="F553" s="21"/>
      <c r="G553" s="21"/>
      <c r="I553" s="21"/>
      <c r="K553" s="21"/>
      <c r="M553" s="21"/>
      <c r="O553" s="21"/>
      <c r="Q553" s="21"/>
      <c r="S553" s="21"/>
      <c r="U553" s="21"/>
      <c r="W553" s="21"/>
      <c r="Y553" s="21"/>
      <c r="AA553" s="21"/>
      <c r="AC553" s="21"/>
      <c r="AE553" s="21"/>
      <c r="AG553" s="21"/>
      <c r="AI553" s="21"/>
      <c r="AK553" s="21"/>
      <c r="AM553" s="21"/>
      <c r="AN553" s="21"/>
    </row>
    <row r="554">
      <c r="A554" s="21"/>
      <c r="B554" s="21"/>
      <c r="D554" s="21"/>
      <c r="F554" s="21"/>
      <c r="G554" s="21"/>
      <c r="I554" s="21"/>
      <c r="K554" s="21"/>
      <c r="M554" s="21"/>
      <c r="O554" s="21"/>
      <c r="Q554" s="21"/>
      <c r="S554" s="21"/>
      <c r="U554" s="21"/>
      <c r="W554" s="21"/>
      <c r="Y554" s="21"/>
      <c r="AA554" s="21"/>
      <c r="AC554" s="21"/>
      <c r="AE554" s="21"/>
      <c r="AG554" s="21"/>
      <c r="AI554" s="21"/>
      <c r="AK554" s="21"/>
      <c r="AM554" s="21"/>
      <c r="AN554" s="21"/>
    </row>
    <row r="555">
      <c r="A555" s="21"/>
      <c r="B555" s="21"/>
      <c r="D555" s="21"/>
      <c r="F555" s="21"/>
      <c r="G555" s="21"/>
      <c r="I555" s="21"/>
      <c r="K555" s="21"/>
      <c r="M555" s="21"/>
      <c r="O555" s="21"/>
      <c r="Q555" s="21"/>
      <c r="S555" s="21"/>
      <c r="U555" s="21"/>
      <c r="W555" s="21"/>
      <c r="Y555" s="21"/>
      <c r="AA555" s="21"/>
      <c r="AC555" s="21"/>
      <c r="AE555" s="21"/>
      <c r="AG555" s="21"/>
      <c r="AI555" s="21"/>
      <c r="AK555" s="21"/>
      <c r="AM555" s="21"/>
      <c r="AN555" s="21"/>
    </row>
    <row r="556">
      <c r="A556" s="21"/>
      <c r="B556" s="21"/>
      <c r="D556" s="21"/>
      <c r="F556" s="21"/>
      <c r="G556" s="21"/>
      <c r="I556" s="21"/>
      <c r="K556" s="21"/>
      <c r="M556" s="21"/>
      <c r="O556" s="21"/>
      <c r="Q556" s="21"/>
      <c r="S556" s="21"/>
      <c r="U556" s="21"/>
      <c r="W556" s="21"/>
      <c r="Y556" s="21"/>
      <c r="AA556" s="21"/>
      <c r="AC556" s="21"/>
      <c r="AE556" s="21"/>
      <c r="AG556" s="21"/>
      <c r="AI556" s="21"/>
      <c r="AK556" s="21"/>
      <c r="AM556" s="21"/>
      <c r="AN556" s="21"/>
    </row>
    <row r="557">
      <c r="A557" s="21"/>
      <c r="B557" s="21"/>
      <c r="D557" s="21"/>
      <c r="F557" s="21"/>
      <c r="G557" s="21"/>
      <c r="I557" s="21"/>
      <c r="K557" s="21"/>
      <c r="M557" s="21"/>
      <c r="O557" s="21"/>
      <c r="Q557" s="21"/>
      <c r="S557" s="21"/>
      <c r="U557" s="21"/>
      <c r="W557" s="21"/>
      <c r="Y557" s="21"/>
      <c r="AA557" s="21"/>
      <c r="AC557" s="21"/>
      <c r="AE557" s="21"/>
      <c r="AG557" s="21"/>
      <c r="AI557" s="21"/>
      <c r="AK557" s="21"/>
      <c r="AM557" s="21"/>
      <c r="AN557" s="21"/>
    </row>
    <row r="558">
      <c r="A558" s="21"/>
      <c r="B558" s="21"/>
      <c r="D558" s="21"/>
      <c r="F558" s="21"/>
      <c r="G558" s="21"/>
      <c r="I558" s="21"/>
      <c r="K558" s="21"/>
      <c r="M558" s="21"/>
      <c r="O558" s="21"/>
      <c r="Q558" s="21"/>
      <c r="S558" s="21"/>
      <c r="U558" s="21"/>
      <c r="W558" s="21"/>
      <c r="Y558" s="21"/>
      <c r="AA558" s="21"/>
      <c r="AC558" s="21"/>
      <c r="AE558" s="21"/>
      <c r="AG558" s="21"/>
      <c r="AI558" s="21"/>
      <c r="AK558" s="21"/>
      <c r="AM558" s="21"/>
      <c r="AN558" s="21"/>
    </row>
    <row r="559">
      <c r="A559" s="21"/>
      <c r="B559" s="21"/>
      <c r="D559" s="21"/>
      <c r="F559" s="21"/>
      <c r="G559" s="21"/>
      <c r="I559" s="21"/>
      <c r="K559" s="21"/>
      <c r="M559" s="21"/>
      <c r="O559" s="21"/>
      <c r="Q559" s="21"/>
      <c r="S559" s="21"/>
      <c r="U559" s="21"/>
      <c r="W559" s="21"/>
      <c r="Y559" s="21"/>
      <c r="AA559" s="21"/>
      <c r="AC559" s="21"/>
      <c r="AE559" s="21"/>
      <c r="AG559" s="21"/>
      <c r="AI559" s="21"/>
      <c r="AK559" s="21"/>
      <c r="AM559" s="21"/>
      <c r="AN559" s="21"/>
    </row>
    <row r="560">
      <c r="A560" s="21"/>
      <c r="B560" s="21"/>
      <c r="D560" s="21"/>
      <c r="F560" s="21"/>
      <c r="G560" s="21"/>
      <c r="I560" s="21"/>
      <c r="K560" s="21"/>
      <c r="M560" s="21"/>
      <c r="O560" s="21"/>
      <c r="Q560" s="21"/>
      <c r="S560" s="21"/>
      <c r="U560" s="21"/>
      <c r="W560" s="21"/>
      <c r="Y560" s="21"/>
      <c r="AA560" s="21"/>
      <c r="AC560" s="21"/>
      <c r="AE560" s="21"/>
      <c r="AG560" s="21"/>
      <c r="AI560" s="21"/>
      <c r="AK560" s="21"/>
      <c r="AM560" s="21"/>
      <c r="AN560" s="21"/>
    </row>
    <row r="561">
      <c r="A561" s="21"/>
      <c r="B561" s="21"/>
      <c r="D561" s="21"/>
      <c r="F561" s="21"/>
      <c r="G561" s="21"/>
      <c r="I561" s="21"/>
      <c r="K561" s="21"/>
      <c r="M561" s="21"/>
      <c r="O561" s="21"/>
      <c r="Q561" s="21"/>
      <c r="S561" s="21"/>
      <c r="U561" s="21"/>
      <c r="W561" s="21"/>
      <c r="Y561" s="21"/>
      <c r="AA561" s="21"/>
      <c r="AC561" s="21"/>
      <c r="AE561" s="21"/>
      <c r="AG561" s="21"/>
      <c r="AI561" s="21"/>
      <c r="AK561" s="21"/>
      <c r="AM561" s="21"/>
      <c r="AN561" s="21"/>
    </row>
    <row r="562">
      <c r="A562" s="21"/>
      <c r="B562" s="21"/>
      <c r="D562" s="21"/>
      <c r="F562" s="21"/>
      <c r="G562" s="21"/>
      <c r="I562" s="21"/>
      <c r="K562" s="21"/>
      <c r="M562" s="21"/>
      <c r="O562" s="21"/>
      <c r="Q562" s="21"/>
      <c r="S562" s="21"/>
      <c r="U562" s="21"/>
      <c r="W562" s="21"/>
      <c r="Y562" s="21"/>
      <c r="AA562" s="21"/>
      <c r="AC562" s="21"/>
      <c r="AE562" s="21"/>
      <c r="AG562" s="21"/>
      <c r="AI562" s="21"/>
      <c r="AK562" s="21"/>
      <c r="AM562" s="21"/>
      <c r="AN562" s="21"/>
    </row>
    <row r="563">
      <c r="A563" s="21"/>
      <c r="B563" s="21"/>
      <c r="D563" s="21"/>
      <c r="F563" s="21"/>
      <c r="G563" s="21"/>
      <c r="I563" s="21"/>
      <c r="K563" s="21"/>
      <c r="M563" s="21"/>
      <c r="O563" s="21"/>
      <c r="Q563" s="21"/>
      <c r="S563" s="21"/>
      <c r="U563" s="21"/>
      <c r="W563" s="21"/>
      <c r="Y563" s="21"/>
      <c r="AA563" s="21"/>
      <c r="AC563" s="21"/>
      <c r="AE563" s="21"/>
      <c r="AG563" s="21"/>
      <c r="AI563" s="21"/>
      <c r="AK563" s="21"/>
      <c r="AM563" s="21"/>
      <c r="AN563" s="21"/>
    </row>
    <row r="564">
      <c r="A564" s="21"/>
      <c r="B564" s="21"/>
      <c r="D564" s="21"/>
      <c r="F564" s="21"/>
      <c r="G564" s="21"/>
      <c r="I564" s="21"/>
      <c r="K564" s="21"/>
      <c r="M564" s="21"/>
      <c r="O564" s="21"/>
      <c r="Q564" s="21"/>
      <c r="S564" s="21"/>
      <c r="U564" s="21"/>
      <c r="W564" s="21"/>
      <c r="Y564" s="21"/>
      <c r="AA564" s="21"/>
      <c r="AC564" s="21"/>
      <c r="AE564" s="21"/>
      <c r="AG564" s="21"/>
      <c r="AI564" s="21"/>
      <c r="AK564" s="21"/>
      <c r="AM564" s="21"/>
      <c r="AN564" s="21"/>
    </row>
    <row r="565">
      <c r="A565" s="21"/>
      <c r="B565" s="21"/>
      <c r="D565" s="21"/>
      <c r="F565" s="21"/>
      <c r="G565" s="21"/>
      <c r="I565" s="21"/>
      <c r="K565" s="21"/>
      <c r="M565" s="21"/>
      <c r="O565" s="21"/>
      <c r="Q565" s="21"/>
      <c r="S565" s="21"/>
      <c r="U565" s="21"/>
      <c r="W565" s="21"/>
      <c r="Y565" s="21"/>
      <c r="AA565" s="21"/>
      <c r="AC565" s="21"/>
      <c r="AE565" s="21"/>
      <c r="AG565" s="21"/>
      <c r="AI565" s="21"/>
      <c r="AK565" s="21"/>
      <c r="AM565" s="21"/>
      <c r="AN565" s="21"/>
    </row>
    <row r="566">
      <c r="A566" s="21"/>
      <c r="B566" s="21"/>
      <c r="D566" s="21"/>
      <c r="F566" s="21"/>
      <c r="G566" s="21"/>
      <c r="I566" s="21"/>
      <c r="K566" s="21"/>
      <c r="M566" s="21"/>
      <c r="O566" s="21"/>
      <c r="Q566" s="21"/>
      <c r="S566" s="21"/>
      <c r="U566" s="21"/>
      <c r="W566" s="21"/>
      <c r="Y566" s="21"/>
      <c r="AA566" s="21"/>
      <c r="AC566" s="21"/>
      <c r="AE566" s="21"/>
      <c r="AG566" s="21"/>
      <c r="AI566" s="21"/>
      <c r="AK566" s="21"/>
      <c r="AM566" s="21"/>
      <c r="AN566" s="21"/>
    </row>
    <row r="567">
      <c r="A567" s="21"/>
      <c r="B567" s="21"/>
      <c r="D567" s="21"/>
      <c r="F567" s="21"/>
      <c r="G567" s="21"/>
      <c r="I567" s="21"/>
      <c r="K567" s="21"/>
      <c r="M567" s="21"/>
      <c r="O567" s="21"/>
      <c r="Q567" s="21"/>
      <c r="S567" s="21"/>
      <c r="U567" s="21"/>
      <c r="W567" s="21"/>
      <c r="Y567" s="21"/>
      <c r="AA567" s="21"/>
      <c r="AC567" s="21"/>
      <c r="AE567" s="21"/>
      <c r="AG567" s="21"/>
      <c r="AI567" s="21"/>
      <c r="AK567" s="21"/>
      <c r="AM567" s="21"/>
      <c r="AN567" s="21"/>
    </row>
    <row r="568">
      <c r="A568" s="21"/>
      <c r="B568" s="21"/>
      <c r="D568" s="21"/>
      <c r="F568" s="21"/>
      <c r="G568" s="21"/>
      <c r="I568" s="21"/>
      <c r="K568" s="21"/>
      <c r="M568" s="21"/>
      <c r="O568" s="21"/>
      <c r="Q568" s="21"/>
      <c r="S568" s="21"/>
      <c r="U568" s="21"/>
      <c r="W568" s="21"/>
      <c r="Y568" s="21"/>
      <c r="AA568" s="21"/>
      <c r="AC568" s="21"/>
      <c r="AE568" s="21"/>
      <c r="AG568" s="21"/>
      <c r="AI568" s="21"/>
      <c r="AK568" s="21"/>
      <c r="AM568" s="21"/>
      <c r="AN568" s="21"/>
    </row>
    <row r="569">
      <c r="A569" s="21"/>
      <c r="B569" s="21"/>
      <c r="D569" s="21"/>
      <c r="F569" s="21"/>
      <c r="G569" s="21"/>
      <c r="I569" s="21"/>
      <c r="K569" s="21"/>
      <c r="M569" s="21"/>
      <c r="O569" s="21"/>
      <c r="Q569" s="21"/>
      <c r="S569" s="21"/>
      <c r="U569" s="21"/>
      <c r="W569" s="21"/>
      <c r="Y569" s="21"/>
      <c r="AA569" s="21"/>
      <c r="AC569" s="21"/>
      <c r="AE569" s="21"/>
      <c r="AG569" s="21"/>
      <c r="AI569" s="21"/>
      <c r="AK569" s="21"/>
      <c r="AM569" s="21"/>
      <c r="AN569" s="21"/>
    </row>
    <row r="570">
      <c r="A570" s="21"/>
      <c r="B570" s="21"/>
      <c r="D570" s="21"/>
      <c r="F570" s="21"/>
      <c r="G570" s="21"/>
      <c r="I570" s="21"/>
      <c r="K570" s="21"/>
      <c r="M570" s="21"/>
      <c r="O570" s="21"/>
      <c r="Q570" s="21"/>
      <c r="S570" s="21"/>
      <c r="U570" s="21"/>
      <c r="W570" s="21"/>
      <c r="Y570" s="21"/>
      <c r="AA570" s="21"/>
      <c r="AC570" s="21"/>
      <c r="AE570" s="21"/>
      <c r="AG570" s="21"/>
      <c r="AI570" s="21"/>
      <c r="AK570" s="21"/>
      <c r="AM570" s="21"/>
      <c r="AN570" s="21"/>
    </row>
    <row r="571">
      <c r="A571" s="21"/>
      <c r="B571" s="21"/>
      <c r="D571" s="21"/>
      <c r="F571" s="21"/>
      <c r="G571" s="21"/>
      <c r="I571" s="21"/>
      <c r="K571" s="21"/>
      <c r="M571" s="21"/>
      <c r="O571" s="21"/>
      <c r="Q571" s="21"/>
      <c r="S571" s="21"/>
      <c r="U571" s="21"/>
      <c r="W571" s="21"/>
      <c r="Y571" s="21"/>
      <c r="AA571" s="21"/>
      <c r="AC571" s="21"/>
      <c r="AE571" s="21"/>
      <c r="AG571" s="21"/>
      <c r="AI571" s="21"/>
      <c r="AK571" s="21"/>
      <c r="AM571" s="21"/>
      <c r="AN571" s="21"/>
    </row>
    <row r="572">
      <c r="A572" s="21"/>
      <c r="B572" s="21"/>
      <c r="D572" s="21"/>
      <c r="F572" s="21"/>
      <c r="G572" s="21"/>
      <c r="I572" s="21"/>
      <c r="K572" s="21"/>
      <c r="M572" s="21"/>
      <c r="O572" s="21"/>
      <c r="Q572" s="21"/>
      <c r="S572" s="21"/>
      <c r="U572" s="21"/>
      <c r="W572" s="21"/>
      <c r="Y572" s="21"/>
      <c r="AA572" s="21"/>
      <c r="AC572" s="21"/>
      <c r="AE572" s="21"/>
      <c r="AG572" s="21"/>
      <c r="AI572" s="21"/>
      <c r="AK572" s="21"/>
      <c r="AM572" s="21"/>
      <c r="AN572" s="21"/>
    </row>
    <row r="573">
      <c r="A573" s="21"/>
      <c r="B573" s="21"/>
      <c r="D573" s="21"/>
      <c r="F573" s="21"/>
      <c r="G573" s="21"/>
      <c r="I573" s="21"/>
      <c r="K573" s="21"/>
      <c r="M573" s="21"/>
      <c r="O573" s="21"/>
      <c r="Q573" s="21"/>
      <c r="S573" s="21"/>
      <c r="U573" s="21"/>
      <c r="W573" s="21"/>
      <c r="Y573" s="21"/>
      <c r="AA573" s="21"/>
      <c r="AC573" s="21"/>
      <c r="AE573" s="21"/>
      <c r="AG573" s="21"/>
      <c r="AI573" s="21"/>
      <c r="AK573" s="21"/>
      <c r="AM573" s="21"/>
      <c r="AN573" s="21"/>
    </row>
    <row r="574">
      <c r="A574" s="21"/>
      <c r="B574" s="21"/>
      <c r="D574" s="21"/>
      <c r="F574" s="21"/>
      <c r="G574" s="21"/>
      <c r="I574" s="21"/>
      <c r="K574" s="21"/>
      <c r="M574" s="21"/>
      <c r="O574" s="21"/>
      <c r="Q574" s="21"/>
      <c r="S574" s="21"/>
      <c r="U574" s="21"/>
      <c r="W574" s="21"/>
      <c r="Y574" s="21"/>
      <c r="AA574" s="21"/>
      <c r="AC574" s="21"/>
      <c r="AE574" s="21"/>
      <c r="AG574" s="21"/>
      <c r="AI574" s="21"/>
      <c r="AK574" s="21"/>
      <c r="AM574" s="21"/>
      <c r="AN574" s="21"/>
    </row>
    <row r="575">
      <c r="A575" s="21"/>
      <c r="B575" s="21"/>
      <c r="D575" s="21"/>
      <c r="F575" s="21"/>
      <c r="G575" s="21"/>
      <c r="I575" s="21"/>
      <c r="K575" s="21"/>
      <c r="M575" s="21"/>
      <c r="O575" s="21"/>
      <c r="Q575" s="21"/>
      <c r="S575" s="21"/>
      <c r="U575" s="21"/>
      <c r="W575" s="21"/>
      <c r="Y575" s="21"/>
      <c r="AA575" s="21"/>
      <c r="AC575" s="21"/>
      <c r="AE575" s="21"/>
      <c r="AG575" s="21"/>
      <c r="AI575" s="21"/>
      <c r="AK575" s="21"/>
      <c r="AM575" s="21"/>
      <c r="AN575" s="21"/>
    </row>
    <row r="576">
      <c r="A576" s="21"/>
      <c r="B576" s="21"/>
      <c r="D576" s="21"/>
      <c r="F576" s="21"/>
      <c r="G576" s="21"/>
      <c r="I576" s="21"/>
      <c r="K576" s="21"/>
      <c r="M576" s="21"/>
      <c r="O576" s="21"/>
      <c r="Q576" s="21"/>
      <c r="S576" s="21"/>
      <c r="U576" s="21"/>
      <c r="W576" s="21"/>
      <c r="Y576" s="21"/>
      <c r="AA576" s="21"/>
      <c r="AC576" s="21"/>
      <c r="AE576" s="21"/>
      <c r="AG576" s="21"/>
      <c r="AI576" s="21"/>
      <c r="AK576" s="21"/>
      <c r="AM576" s="21"/>
      <c r="AN576" s="21"/>
    </row>
    <row r="577">
      <c r="A577" s="21"/>
      <c r="B577" s="21"/>
      <c r="D577" s="21"/>
      <c r="F577" s="21"/>
      <c r="G577" s="21"/>
      <c r="I577" s="21"/>
      <c r="K577" s="21"/>
      <c r="M577" s="21"/>
      <c r="O577" s="21"/>
      <c r="Q577" s="21"/>
      <c r="S577" s="21"/>
      <c r="U577" s="21"/>
      <c r="W577" s="21"/>
      <c r="Y577" s="21"/>
      <c r="AA577" s="21"/>
      <c r="AC577" s="21"/>
      <c r="AE577" s="21"/>
      <c r="AG577" s="21"/>
      <c r="AI577" s="21"/>
      <c r="AK577" s="21"/>
      <c r="AM577" s="21"/>
      <c r="AN577" s="21"/>
    </row>
    <row r="578">
      <c r="A578" s="21"/>
      <c r="B578" s="21"/>
      <c r="D578" s="21"/>
      <c r="F578" s="21"/>
      <c r="G578" s="21"/>
      <c r="I578" s="21"/>
      <c r="K578" s="21"/>
      <c r="M578" s="21"/>
      <c r="O578" s="21"/>
      <c r="Q578" s="21"/>
      <c r="S578" s="21"/>
      <c r="U578" s="21"/>
      <c r="W578" s="21"/>
      <c r="Y578" s="21"/>
      <c r="AA578" s="21"/>
      <c r="AC578" s="21"/>
      <c r="AE578" s="21"/>
      <c r="AG578" s="21"/>
      <c r="AI578" s="21"/>
      <c r="AK578" s="21"/>
      <c r="AM578" s="21"/>
      <c r="AN578" s="21"/>
    </row>
    <row r="579">
      <c r="A579" s="21"/>
      <c r="B579" s="21"/>
      <c r="D579" s="21"/>
      <c r="F579" s="21"/>
      <c r="G579" s="21"/>
      <c r="I579" s="21"/>
      <c r="K579" s="21"/>
      <c r="M579" s="21"/>
      <c r="O579" s="21"/>
      <c r="Q579" s="21"/>
      <c r="S579" s="21"/>
      <c r="U579" s="21"/>
      <c r="W579" s="21"/>
      <c r="Y579" s="21"/>
      <c r="AA579" s="21"/>
      <c r="AC579" s="21"/>
      <c r="AE579" s="21"/>
      <c r="AG579" s="21"/>
      <c r="AI579" s="21"/>
      <c r="AK579" s="21"/>
      <c r="AM579" s="21"/>
      <c r="AN579" s="21"/>
    </row>
    <row r="580">
      <c r="A580" s="21"/>
      <c r="B580" s="21"/>
      <c r="D580" s="21"/>
      <c r="F580" s="21"/>
      <c r="G580" s="21"/>
      <c r="I580" s="21"/>
      <c r="K580" s="21"/>
      <c r="M580" s="21"/>
      <c r="O580" s="21"/>
      <c r="Q580" s="21"/>
      <c r="S580" s="21"/>
      <c r="U580" s="21"/>
      <c r="W580" s="21"/>
      <c r="Y580" s="21"/>
      <c r="AA580" s="21"/>
      <c r="AC580" s="21"/>
      <c r="AE580" s="21"/>
      <c r="AG580" s="21"/>
      <c r="AI580" s="21"/>
      <c r="AK580" s="21"/>
      <c r="AM580" s="21"/>
      <c r="AN580" s="21"/>
    </row>
    <row r="581">
      <c r="A581" s="21"/>
      <c r="B581" s="21"/>
      <c r="D581" s="21"/>
      <c r="F581" s="21"/>
      <c r="G581" s="21"/>
      <c r="I581" s="21"/>
      <c r="K581" s="21"/>
      <c r="M581" s="21"/>
      <c r="O581" s="21"/>
      <c r="Q581" s="21"/>
      <c r="S581" s="21"/>
      <c r="U581" s="21"/>
      <c r="W581" s="21"/>
      <c r="Y581" s="21"/>
      <c r="AA581" s="21"/>
      <c r="AC581" s="21"/>
      <c r="AE581" s="21"/>
      <c r="AG581" s="21"/>
      <c r="AI581" s="21"/>
      <c r="AK581" s="21"/>
      <c r="AM581" s="21"/>
      <c r="AN581" s="21"/>
    </row>
    <row r="582">
      <c r="A582" s="21"/>
      <c r="B582" s="21"/>
      <c r="D582" s="21"/>
      <c r="F582" s="21"/>
      <c r="G582" s="21"/>
      <c r="I582" s="21"/>
      <c r="K582" s="21"/>
      <c r="M582" s="21"/>
      <c r="O582" s="21"/>
      <c r="Q582" s="21"/>
      <c r="S582" s="21"/>
      <c r="U582" s="21"/>
      <c r="W582" s="21"/>
      <c r="Y582" s="21"/>
      <c r="AA582" s="21"/>
      <c r="AC582" s="21"/>
      <c r="AE582" s="21"/>
      <c r="AG582" s="21"/>
      <c r="AI582" s="21"/>
      <c r="AK582" s="21"/>
      <c r="AM582" s="21"/>
      <c r="AN582" s="21"/>
    </row>
    <row r="583">
      <c r="A583" s="21"/>
      <c r="B583" s="21"/>
      <c r="D583" s="21"/>
      <c r="F583" s="21"/>
      <c r="G583" s="21"/>
      <c r="I583" s="21"/>
      <c r="K583" s="21"/>
      <c r="M583" s="21"/>
      <c r="O583" s="21"/>
      <c r="Q583" s="21"/>
      <c r="S583" s="21"/>
      <c r="U583" s="21"/>
      <c r="W583" s="21"/>
      <c r="Y583" s="21"/>
      <c r="AA583" s="21"/>
      <c r="AC583" s="21"/>
      <c r="AE583" s="21"/>
      <c r="AG583" s="21"/>
      <c r="AI583" s="21"/>
      <c r="AK583" s="21"/>
      <c r="AM583" s="21"/>
      <c r="AN583" s="21"/>
    </row>
    <row r="584">
      <c r="A584" s="21"/>
      <c r="B584" s="21"/>
      <c r="D584" s="21"/>
      <c r="F584" s="21"/>
      <c r="G584" s="21"/>
      <c r="I584" s="21"/>
      <c r="K584" s="21"/>
      <c r="M584" s="21"/>
      <c r="O584" s="21"/>
      <c r="Q584" s="21"/>
      <c r="S584" s="21"/>
      <c r="U584" s="21"/>
      <c r="W584" s="21"/>
      <c r="Y584" s="21"/>
      <c r="AA584" s="21"/>
      <c r="AC584" s="21"/>
      <c r="AE584" s="21"/>
      <c r="AG584" s="21"/>
      <c r="AI584" s="21"/>
      <c r="AK584" s="21"/>
      <c r="AM584" s="21"/>
      <c r="AN584" s="21"/>
    </row>
    <row r="585">
      <c r="A585" s="21"/>
      <c r="B585" s="21"/>
      <c r="D585" s="21"/>
      <c r="F585" s="21"/>
      <c r="G585" s="21"/>
      <c r="I585" s="21"/>
      <c r="K585" s="21"/>
      <c r="M585" s="21"/>
      <c r="O585" s="21"/>
      <c r="Q585" s="21"/>
      <c r="S585" s="21"/>
      <c r="U585" s="21"/>
      <c r="W585" s="21"/>
      <c r="Y585" s="21"/>
      <c r="AA585" s="21"/>
      <c r="AC585" s="21"/>
      <c r="AE585" s="21"/>
      <c r="AG585" s="21"/>
      <c r="AI585" s="21"/>
      <c r="AK585" s="21"/>
      <c r="AM585" s="21"/>
      <c r="AN585" s="21"/>
    </row>
    <row r="586">
      <c r="A586" s="21"/>
      <c r="B586" s="21"/>
      <c r="D586" s="21"/>
      <c r="F586" s="21"/>
      <c r="G586" s="21"/>
      <c r="I586" s="21"/>
      <c r="K586" s="21"/>
      <c r="M586" s="21"/>
      <c r="O586" s="21"/>
      <c r="Q586" s="21"/>
      <c r="S586" s="21"/>
      <c r="U586" s="21"/>
      <c r="W586" s="21"/>
      <c r="Y586" s="21"/>
      <c r="AA586" s="21"/>
      <c r="AC586" s="21"/>
      <c r="AE586" s="21"/>
      <c r="AG586" s="21"/>
      <c r="AI586" s="21"/>
      <c r="AK586" s="21"/>
      <c r="AM586" s="21"/>
      <c r="AN586" s="21"/>
    </row>
    <row r="587">
      <c r="A587" s="21"/>
      <c r="B587" s="21"/>
      <c r="D587" s="21"/>
      <c r="F587" s="21"/>
      <c r="G587" s="21"/>
      <c r="I587" s="21"/>
      <c r="K587" s="21"/>
      <c r="M587" s="21"/>
      <c r="O587" s="21"/>
      <c r="Q587" s="21"/>
      <c r="S587" s="21"/>
      <c r="U587" s="21"/>
      <c r="W587" s="21"/>
      <c r="Y587" s="21"/>
      <c r="AA587" s="21"/>
      <c r="AC587" s="21"/>
      <c r="AE587" s="21"/>
      <c r="AG587" s="21"/>
      <c r="AI587" s="21"/>
      <c r="AK587" s="21"/>
      <c r="AM587" s="21"/>
      <c r="AN587" s="21"/>
    </row>
    <row r="588">
      <c r="A588" s="21"/>
      <c r="B588" s="21"/>
      <c r="D588" s="21"/>
      <c r="F588" s="21"/>
      <c r="G588" s="21"/>
      <c r="I588" s="21"/>
      <c r="K588" s="21"/>
      <c r="M588" s="21"/>
      <c r="O588" s="21"/>
      <c r="Q588" s="21"/>
      <c r="S588" s="21"/>
      <c r="U588" s="21"/>
      <c r="W588" s="21"/>
      <c r="Y588" s="21"/>
      <c r="AA588" s="21"/>
      <c r="AC588" s="21"/>
      <c r="AE588" s="21"/>
      <c r="AG588" s="21"/>
      <c r="AI588" s="21"/>
      <c r="AK588" s="21"/>
      <c r="AM588" s="21"/>
      <c r="AN588" s="21"/>
    </row>
    <row r="589">
      <c r="A589" s="21"/>
      <c r="B589" s="21"/>
      <c r="D589" s="21"/>
      <c r="F589" s="21"/>
      <c r="G589" s="21"/>
      <c r="I589" s="21"/>
      <c r="K589" s="21"/>
      <c r="M589" s="21"/>
      <c r="O589" s="21"/>
      <c r="Q589" s="21"/>
      <c r="S589" s="21"/>
      <c r="U589" s="21"/>
      <c r="W589" s="21"/>
      <c r="Y589" s="21"/>
      <c r="AA589" s="21"/>
      <c r="AC589" s="21"/>
      <c r="AE589" s="21"/>
      <c r="AG589" s="21"/>
      <c r="AI589" s="21"/>
      <c r="AK589" s="21"/>
      <c r="AM589" s="21"/>
      <c r="AN589" s="21"/>
    </row>
    <row r="590">
      <c r="A590" s="21"/>
      <c r="B590" s="21"/>
      <c r="D590" s="21"/>
      <c r="F590" s="21"/>
      <c r="G590" s="21"/>
      <c r="I590" s="21"/>
      <c r="K590" s="21"/>
      <c r="M590" s="21"/>
      <c r="O590" s="21"/>
      <c r="Q590" s="21"/>
      <c r="S590" s="21"/>
      <c r="U590" s="21"/>
      <c r="W590" s="21"/>
      <c r="Y590" s="21"/>
      <c r="AA590" s="21"/>
      <c r="AC590" s="21"/>
      <c r="AE590" s="21"/>
      <c r="AG590" s="21"/>
      <c r="AI590" s="21"/>
      <c r="AK590" s="21"/>
      <c r="AM590" s="21"/>
      <c r="AN590" s="21"/>
    </row>
    <row r="591">
      <c r="A591" s="21"/>
      <c r="B591" s="21"/>
      <c r="D591" s="21"/>
      <c r="F591" s="21"/>
      <c r="G591" s="21"/>
      <c r="I591" s="21"/>
      <c r="K591" s="21"/>
      <c r="M591" s="21"/>
      <c r="O591" s="21"/>
      <c r="Q591" s="21"/>
      <c r="S591" s="21"/>
      <c r="U591" s="21"/>
      <c r="W591" s="21"/>
      <c r="Y591" s="21"/>
      <c r="AA591" s="21"/>
      <c r="AC591" s="21"/>
      <c r="AE591" s="21"/>
      <c r="AG591" s="21"/>
      <c r="AI591" s="21"/>
      <c r="AK591" s="21"/>
      <c r="AM591" s="21"/>
      <c r="AN591" s="21"/>
    </row>
    <row r="592">
      <c r="A592" s="21"/>
      <c r="B592" s="21"/>
      <c r="D592" s="21"/>
      <c r="F592" s="21"/>
      <c r="G592" s="21"/>
      <c r="I592" s="21"/>
      <c r="K592" s="21"/>
      <c r="M592" s="21"/>
      <c r="O592" s="21"/>
      <c r="Q592" s="21"/>
      <c r="S592" s="21"/>
      <c r="U592" s="21"/>
      <c r="W592" s="21"/>
      <c r="Y592" s="21"/>
      <c r="AA592" s="21"/>
      <c r="AC592" s="21"/>
      <c r="AE592" s="21"/>
      <c r="AG592" s="21"/>
      <c r="AI592" s="21"/>
      <c r="AK592" s="21"/>
      <c r="AM592" s="21"/>
      <c r="AN592" s="21"/>
    </row>
    <row r="593">
      <c r="A593" s="21"/>
      <c r="B593" s="21"/>
      <c r="D593" s="21"/>
      <c r="F593" s="21"/>
      <c r="G593" s="21"/>
      <c r="I593" s="21"/>
      <c r="K593" s="21"/>
      <c r="M593" s="21"/>
      <c r="O593" s="21"/>
      <c r="Q593" s="21"/>
      <c r="S593" s="21"/>
      <c r="U593" s="21"/>
      <c r="W593" s="21"/>
      <c r="Y593" s="21"/>
      <c r="AA593" s="21"/>
      <c r="AC593" s="21"/>
      <c r="AE593" s="21"/>
      <c r="AG593" s="21"/>
      <c r="AI593" s="21"/>
      <c r="AK593" s="21"/>
      <c r="AM593" s="21"/>
      <c r="AN593" s="21"/>
    </row>
    <row r="594">
      <c r="A594" s="21"/>
      <c r="B594" s="21"/>
      <c r="D594" s="21"/>
      <c r="F594" s="21"/>
      <c r="G594" s="21"/>
      <c r="I594" s="21"/>
      <c r="K594" s="21"/>
      <c r="M594" s="21"/>
      <c r="O594" s="21"/>
      <c r="Q594" s="21"/>
      <c r="S594" s="21"/>
      <c r="U594" s="21"/>
      <c r="W594" s="21"/>
      <c r="Y594" s="21"/>
      <c r="AA594" s="21"/>
      <c r="AC594" s="21"/>
      <c r="AE594" s="21"/>
      <c r="AG594" s="21"/>
      <c r="AI594" s="21"/>
      <c r="AK594" s="21"/>
      <c r="AM594" s="21"/>
      <c r="AN594" s="21"/>
    </row>
    <row r="595">
      <c r="A595" s="21"/>
      <c r="B595" s="21"/>
      <c r="D595" s="21"/>
      <c r="F595" s="21"/>
      <c r="G595" s="21"/>
      <c r="I595" s="21"/>
      <c r="K595" s="21"/>
      <c r="M595" s="21"/>
      <c r="O595" s="21"/>
      <c r="Q595" s="21"/>
      <c r="S595" s="21"/>
      <c r="U595" s="21"/>
      <c r="W595" s="21"/>
      <c r="Y595" s="21"/>
      <c r="AA595" s="21"/>
      <c r="AC595" s="21"/>
      <c r="AE595" s="21"/>
      <c r="AG595" s="21"/>
      <c r="AI595" s="21"/>
      <c r="AK595" s="21"/>
      <c r="AM595" s="21"/>
      <c r="AN595" s="21"/>
    </row>
    <row r="596">
      <c r="A596" s="21"/>
      <c r="B596" s="21"/>
      <c r="D596" s="21"/>
      <c r="F596" s="21"/>
      <c r="G596" s="21"/>
      <c r="I596" s="21"/>
      <c r="K596" s="21"/>
      <c r="M596" s="21"/>
      <c r="O596" s="21"/>
      <c r="Q596" s="21"/>
      <c r="S596" s="21"/>
      <c r="U596" s="21"/>
      <c r="W596" s="21"/>
      <c r="Y596" s="21"/>
      <c r="AA596" s="21"/>
      <c r="AC596" s="21"/>
      <c r="AE596" s="21"/>
      <c r="AG596" s="21"/>
      <c r="AI596" s="21"/>
      <c r="AK596" s="21"/>
      <c r="AM596" s="21"/>
      <c r="AN596" s="21"/>
    </row>
    <row r="597">
      <c r="A597" s="21"/>
      <c r="B597" s="21"/>
      <c r="D597" s="21"/>
      <c r="F597" s="21"/>
      <c r="G597" s="21"/>
      <c r="I597" s="21"/>
      <c r="K597" s="21"/>
      <c r="M597" s="21"/>
      <c r="O597" s="21"/>
      <c r="Q597" s="21"/>
      <c r="S597" s="21"/>
      <c r="U597" s="21"/>
      <c r="W597" s="21"/>
      <c r="Y597" s="21"/>
      <c r="AA597" s="21"/>
      <c r="AC597" s="21"/>
      <c r="AE597" s="21"/>
      <c r="AG597" s="21"/>
      <c r="AI597" s="21"/>
      <c r="AK597" s="21"/>
      <c r="AM597" s="21"/>
      <c r="AN597" s="21"/>
    </row>
    <row r="598">
      <c r="A598" s="21"/>
      <c r="B598" s="21"/>
      <c r="D598" s="21"/>
      <c r="F598" s="21"/>
      <c r="G598" s="21"/>
      <c r="I598" s="21"/>
      <c r="K598" s="21"/>
      <c r="M598" s="21"/>
      <c r="O598" s="21"/>
      <c r="Q598" s="21"/>
      <c r="S598" s="21"/>
      <c r="U598" s="21"/>
      <c r="W598" s="21"/>
      <c r="Y598" s="21"/>
      <c r="AA598" s="21"/>
      <c r="AC598" s="21"/>
      <c r="AE598" s="21"/>
      <c r="AG598" s="21"/>
      <c r="AI598" s="21"/>
      <c r="AK598" s="21"/>
      <c r="AM598" s="21"/>
      <c r="AN598" s="21"/>
    </row>
    <row r="599">
      <c r="A599" s="21"/>
      <c r="B599" s="21"/>
      <c r="D599" s="21"/>
      <c r="F599" s="21"/>
      <c r="G599" s="21"/>
      <c r="I599" s="21"/>
      <c r="K599" s="21"/>
      <c r="M599" s="21"/>
      <c r="O599" s="21"/>
      <c r="Q599" s="21"/>
      <c r="S599" s="21"/>
      <c r="U599" s="21"/>
      <c r="W599" s="21"/>
      <c r="Y599" s="21"/>
      <c r="AA599" s="21"/>
      <c r="AC599" s="21"/>
      <c r="AE599" s="21"/>
      <c r="AG599" s="21"/>
      <c r="AI599" s="21"/>
      <c r="AK599" s="21"/>
      <c r="AM599" s="21"/>
      <c r="AN599" s="21"/>
    </row>
    <row r="600">
      <c r="A600" s="21"/>
      <c r="B600" s="21"/>
      <c r="D600" s="21"/>
      <c r="F600" s="21"/>
      <c r="G600" s="21"/>
      <c r="I600" s="21"/>
      <c r="K600" s="21"/>
      <c r="M600" s="21"/>
      <c r="O600" s="21"/>
      <c r="Q600" s="21"/>
      <c r="S600" s="21"/>
      <c r="U600" s="21"/>
      <c r="W600" s="21"/>
      <c r="Y600" s="21"/>
      <c r="AA600" s="21"/>
      <c r="AC600" s="21"/>
      <c r="AE600" s="21"/>
      <c r="AG600" s="21"/>
      <c r="AI600" s="21"/>
      <c r="AK600" s="21"/>
      <c r="AM600" s="21"/>
      <c r="AN600" s="21"/>
    </row>
    <row r="601">
      <c r="A601" s="21"/>
      <c r="B601" s="21"/>
      <c r="D601" s="21"/>
      <c r="F601" s="21"/>
      <c r="G601" s="21"/>
      <c r="I601" s="21"/>
      <c r="K601" s="21"/>
      <c r="M601" s="21"/>
      <c r="O601" s="21"/>
      <c r="Q601" s="21"/>
      <c r="S601" s="21"/>
      <c r="U601" s="21"/>
      <c r="W601" s="21"/>
      <c r="Y601" s="21"/>
      <c r="AA601" s="21"/>
      <c r="AC601" s="21"/>
      <c r="AE601" s="21"/>
      <c r="AG601" s="21"/>
      <c r="AI601" s="21"/>
      <c r="AK601" s="21"/>
      <c r="AM601" s="21"/>
      <c r="AN601" s="21"/>
    </row>
    <row r="602">
      <c r="A602" s="21"/>
      <c r="B602" s="21"/>
      <c r="D602" s="21"/>
      <c r="F602" s="21"/>
      <c r="G602" s="21"/>
      <c r="I602" s="21"/>
      <c r="K602" s="21"/>
      <c r="M602" s="21"/>
      <c r="O602" s="21"/>
      <c r="Q602" s="21"/>
      <c r="S602" s="21"/>
      <c r="U602" s="21"/>
      <c r="W602" s="21"/>
      <c r="Y602" s="21"/>
      <c r="AA602" s="21"/>
      <c r="AC602" s="21"/>
      <c r="AE602" s="21"/>
      <c r="AG602" s="21"/>
      <c r="AI602" s="21"/>
      <c r="AK602" s="21"/>
      <c r="AM602" s="21"/>
      <c r="AN602" s="21"/>
    </row>
    <row r="603">
      <c r="A603" s="21"/>
      <c r="B603" s="21"/>
      <c r="D603" s="21"/>
      <c r="F603" s="21"/>
      <c r="G603" s="21"/>
      <c r="I603" s="21"/>
      <c r="K603" s="21"/>
      <c r="M603" s="21"/>
      <c r="O603" s="21"/>
      <c r="Q603" s="21"/>
      <c r="S603" s="21"/>
      <c r="U603" s="21"/>
      <c r="W603" s="21"/>
      <c r="Y603" s="21"/>
      <c r="AA603" s="21"/>
      <c r="AC603" s="21"/>
      <c r="AE603" s="21"/>
      <c r="AG603" s="21"/>
      <c r="AI603" s="21"/>
      <c r="AK603" s="21"/>
      <c r="AM603" s="21"/>
      <c r="AN603" s="21"/>
    </row>
    <row r="604">
      <c r="A604" s="21"/>
      <c r="B604" s="21"/>
      <c r="D604" s="21"/>
      <c r="F604" s="21"/>
      <c r="G604" s="21"/>
      <c r="I604" s="21"/>
      <c r="K604" s="21"/>
      <c r="M604" s="21"/>
      <c r="O604" s="21"/>
      <c r="Q604" s="21"/>
      <c r="S604" s="21"/>
      <c r="U604" s="21"/>
      <c r="W604" s="21"/>
      <c r="Y604" s="21"/>
      <c r="AA604" s="21"/>
      <c r="AC604" s="21"/>
      <c r="AE604" s="21"/>
      <c r="AG604" s="21"/>
      <c r="AI604" s="21"/>
      <c r="AK604" s="21"/>
      <c r="AM604" s="21"/>
      <c r="AN604" s="21"/>
    </row>
    <row r="605">
      <c r="A605" s="21"/>
      <c r="B605" s="21"/>
      <c r="D605" s="21"/>
      <c r="F605" s="21"/>
      <c r="G605" s="21"/>
      <c r="I605" s="21"/>
      <c r="K605" s="21"/>
      <c r="M605" s="21"/>
      <c r="O605" s="21"/>
      <c r="Q605" s="21"/>
      <c r="S605" s="21"/>
      <c r="U605" s="21"/>
      <c r="W605" s="21"/>
      <c r="Y605" s="21"/>
      <c r="AA605" s="21"/>
      <c r="AC605" s="21"/>
      <c r="AE605" s="21"/>
      <c r="AG605" s="21"/>
      <c r="AI605" s="21"/>
      <c r="AK605" s="21"/>
      <c r="AM605" s="21"/>
      <c r="AN605" s="21"/>
    </row>
    <row r="606">
      <c r="A606" s="21"/>
      <c r="B606" s="21"/>
      <c r="D606" s="21"/>
      <c r="F606" s="21"/>
      <c r="G606" s="21"/>
      <c r="I606" s="21"/>
      <c r="K606" s="21"/>
      <c r="M606" s="21"/>
      <c r="O606" s="21"/>
      <c r="Q606" s="21"/>
      <c r="S606" s="21"/>
      <c r="U606" s="21"/>
      <c r="W606" s="21"/>
      <c r="Y606" s="21"/>
      <c r="AA606" s="21"/>
      <c r="AC606" s="21"/>
      <c r="AE606" s="21"/>
      <c r="AG606" s="21"/>
      <c r="AI606" s="21"/>
      <c r="AK606" s="21"/>
      <c r="AM606" s="21"/>
      <c r="AN606" s="21"/>
    </row>
    <row r="607">
      <c r="A607" s="21"/>
      <c r="B607" s="21"/>
      <c r="D607" s="21"/>
      <c r="F607" s="21"/>
      <c r="G607" s="21"/>
      <c r="I607" s="21"/>
      <c r="K607" s="21"/>
      <c r="M607" s="21"/>
      <c r="O607" s="21"/>
      <c r="Q607" s="21"/>
      <c r="S607" s="21"/>
      <c r="U607" s="21"/>
      <c r="W607" s="21"/>
      <c r="Y607" s="21"/>
      <c r="AA607" s="21"/>
      <c r="AC607" s="21"/>
      <c r="AE607" s="21"/>
      <c r="AG607" s="21"/>
      <c r="AI607" s="21"/>
      <c r="AK607" s="21"/>
      <c r="AM607" s="21"/>
      <c r="AN607" s="21"/>
    </row>
    <row r="608">
      <c r="A608" s="21"/>
      <c r="B608" s="21"/>
      <c r="D608" s="21"/>
      <c r="F608" s="21"/>
      <c r="G608" s="21"/>
      <c r="I608" s="21"/>
      <c r="K608" s="21"/>
      <c r="M608" s="21"/>
      <c r="O608" s="21"/>
      <c r="Q608" s="21"/>
      <c r="S608" s="21"/>
      <c r="U608" s="21"/>
      <c r="W608" s="21"/>
      <c r="Y608" s="21"/>
      <c r="AA608" s="21"/>
      <c r="AC608" s="21"/>
      <c r="AE608" s="21"/>
      <c r="AG608" s="21"/>
      <c r="AI608" s="21"/>
      <c r="AK608" s="21"/>
      <c r="AM608" s="21"/>
      <c r="AN608" s="21"/>
    </row>
    <row r="609">
      <c r="A609" s="21"/>
      <c r="B609" s="21"/>
      <c r="D609" s="21"/>
      <c r="F609" s="21"/>
      <c r="G609" s="21"/>
      <c r="I609" s="21"/>
      <c r="K609" s="21"/>
      <c r="M609" s="21"/>
      <c r="O609" s="21"/>
      <c r="Q609" s="21"/>
      <c r="S609" s="21"/>
      <c r="U609" s="21"/>
      <c r="W609" s="21"/>
      <c r="Y609" s="21"/>
      <c r="AA609" s="21"/>
      <c r="AC609" s="21"/>
      <c r="AE609" s="21"/>
      <c r="AG609" s="21"/>
      <c r="AI609" s="21"/>
      <c r="AK609" s="21"/>
      <c r="AM609" s="21"/>
      <c r="AN609" s="21"/>
    </row>
    <row r="610">
      <c r="A610" s="21"/>
      <c r="B610" s="21"/>
      <c r="D610" s="21"/>
      <c r="F610" s="21"/>
      <c r="G610" s="21"/>
      <c r="I610" s="21"/>
      <c r="K610" s="21"/>
      <c r="M610" s="21"/>
      <c r="O610" s="21"/>
      <c r="Q610" s="21"/>
      <c r="S610" s="21"/>
      <c r="U610" s="21"/>
      <c r="W610" s="21"/>
      <c r="Y610" s="21"/>
      <c r="AA610" s="21"/>
      <c r="AC610" s="21"/>
      <c r="AE610" s="21"/>
      <c r="AG610" s="21"/>
      <c r="AI610" s="21"/>
      <c r="AK610" s="21"/>
      <c r="AM610" s="21"/>
      <c r="AN610" s="21"/>
    </row>
    <row r="611">
      <c r="A611" s="21"/>
      <c r="B611" s="21"/>
      <c r="D611" s="21"/>
      <c r="F611" s="21"/>
      <c r="G611" s="21"/>
      <c r="I611" s="21"/>
      <c r="K611" s="21"/>
      <c r="M611" s="21"/>
      <c r="O611" s="21"/>
      <c r="Q611" s="21"/>
      <c r="S611" s="21"/>
      <c r="U611" s="21"/>
      <c r="W611" s="21"/>
      <c r="Y611" s="21"/>
      <c r="AA611" s="21"/>
      <c r="AC611" s="21"/>
      <c r="AE611" s="21"/>
      <c r="AG611" s="21"/>
      <c r="AI611" s="21"/>
      <c r="AK611" s="21"/>
      <c r="AM611" s="21"/>
      <c r="AN611" s="21"/>
    </row>
    <row r="612">
      <c r="A612" s="21"/>
      <c r="B612" s="21"/>
      <c r="D612" s="21"/>
      <c r="F612" s="21"/>
      <c r="G612" s="21"/>
      <c r="I612" s="21"/>
      <c r="K612" s="21"/>
      <c r="M612" s="21"/>
      <c r="O612" s="21"/>
      <c r="Q612" s="21"/>
      <c r="S612" s="21"/>
      <c r="U612" s="21"/>
      <c r="W612" s="21"/>
      <c r="Y612" s="21"/>
      <c r="AA612" s="21"/>
      <c r="AC612" s="21"/>
      <c r="AE612" s="21"/>
      <c r="AG612" s="21"/>
      <c r="AI612" s="21"/>
      <c r="AK612" s="21"/>
      <c r="AM612" s="21"/>
      <c r="AN612" s="21"/>
    </row>
    <row r="613">
      <c r="A613" s="21"/>
      <c r="B613" s="21"/>
      <c r="D613" s="21"/>
      <c r="F613" s="21"/>
      <c r="G613" s="21"/>
      <c r="I613" s="21"/>
      <c r="K613" s="21"/>
      <c r="M613" s="21"/>
      <c r="O613" s="21"/>
      <c r="Q613" s="21"/>
      <c r="S613" s="21"/>
      <c r="U613" s="21"/>
      <c r="W613" s="21"/>
      <c r="Y613" s="21"/>
      <c r="AA613" s="21"/>
      <c r="AC613" s="21"/>
      <c r="AE613" s="21"/>
      <c r="AG613" s="21"/>
      <c r="AI613" s="21"/>
      <c r="AK613" s="21"/>
      <c r="AM613" s="21"/>
      <c r="AN613" s="21"/>
    </row>
    <row r="614">
      <c r="A614" s="21"/>
      <c r="B614" s="21"/>
      <c r="D614" s="21"/>
      <c r="F614" s="21"/>
      <c r="G614" s="21"/>
      <c r="I614" s="21"/>
      <c r="K614" s="21"/>
      <c r="M614" s="21"/>
      <c r="O614" s="21"/>
      <c r="Q614" s="21"/>
      <c r="S614" s="21"/>
      <c r="U614" s="21"/>
      <c r="W614" s="21"/>
      <c r="Y614" s="21"/>
      <c r="AA614" s="21"/>
      <c r="AC614" s="21"/>
      <c r="AE614" s="21"/>
      <c r="AG614" s="21"/>
      <c r="AI614" s="21"/>
      <c r="AK614" s="21"/>
      <c r="AM614" s="21"/>
      <c r="AN614" s="21"/>
    </row>
    <row r="615">
      <c r="A615" s="21"/>
      <c r="B615" s="21"/>
      <c r="D615" s="21"/>
      <c r="F615" s="21"/>
      <c r="G615" s="21"/>
      <c r="I615" s="21"/>
      <c r="K615" s="21"/>
      <c r="M615" s="21"/>
      <c r="O615" s="21"/>
      <c r="Q615" s="21"/>
      <c r="S615" s="21"/>
      <c r="U615" s="21"/>
      <c r="W615" s="21"/>
      <c r="Y615" s="21"/>
      <c r="AA615" s="21"/>
      <c r="AC615" s="21"/>
      <c r="AE615" s="21"/>
      <c r="AG615" s="21"/>
      <c r="AI615" s="21"/>
      <c r="AK615" s="21"/>
      <c r="AM615" s="21"/>
      <c r="AN615" s="21"/>
    </row>
    <row r="616">
      <c r="A616" s="21"/>
      <c r="B616" s="21"/>
      <c r="D616" s="21"/>
      <c r="F616" s="21"/>
      <c r="G616" s="21"/>
      <c r="I616" s="21"/>
      <c r="K616" s="21"/>
      <c r="M616" s="21"/>
      <c r="O616" s="21"/>
      <c r="Q616" s="21"/>
      <c r="S616" s="21"/>
      <c r="U616" s="21"/>
      <c r="W616" s="21"/>
      <c r="Y616" s="21"/>
      <c r="AA616" s="21"/>
      <c r="AC616" s="21"/>
      <c r="AE616" s="21"/>
      <c r="AG616" s="21"/>
      <c r="AI616" s="21"/>
      <c r="AK616" s="21"/>
      <c r="AM616" s="21"/>
      <c r="AN616" s="21"/>
    </row>
    <row r="617">
      <c r="A617" s="21"/>
      <c r="B617" s="21"/>
      <c r="D617" s="21"/>
      <c r="F617" s="21"/>
      <c r="G617" s="21"/>
      <c r="I617" s="21"/>
      <c r="K617" s="21"/>
      <c r="M617" s="21"/>
      <c r="O617" s="21"/>
      <c r="Q617" s="21"/>
      <c r="S617" s="21"/>
      <c r="U617" s="21"/>
      <c r="W617" s="21"/>
      <c r="Y617" s="21"/>
      <c r="AA617" s="21"/>
      <c r="AC617" s="21"/>
      <c r="AE617" s="21"/>
      <c r="AG617" s="21"/>
      <c r="AI617" s="21"/>
      <c r="AK617" s="21"/>
      <c r="AM617" s="21"/>
      <c r="AN617" s="21"/>
    </row>
    <row r="618">
      <c r="A618" s="21"/>
      <c r="B618" s="21"/>
      <c r="D618" s="21"/>
      <c r="F618" s="21"/>
      <c r="G618" s="21"/>
      <c r="I618" s="21"/>
      <c r="K618" s="21"/>
      <c r="M618" s="21"/>
      <c r="O618" s="21"/>
      <c r="Q618" s="21"/>
      <c r="S618" s="21"/>
      <c r="U618" s="21"/>
      <c r="W618" s="21"/>
      <c r="Y618" s="21"/>
      <c r="AA618" s="21"/>
      <c r="AC618" s="21"/>
      <c r="AE618" s="21"/>
      <c r="AG618" s="21"/>
      <c r="AI618" s="21"/>
      <c r="AK618" s="21"/>
      <c r="AM618" s="21"/>
      <c r="AN618" s="21"/>
    </row>
    <row r="619">
      <c r="A619" s="21"/>
      <c r="B619" s="21"/>
      <c r="D619" s="21"/>
      <c r="F619" s="21"/>
      <c r="G619" s="21"/>
      <c r="I619" s="21"/>
      <c r="K619" s="21"/>
      <c r="M619" s="21"/>
      <c r="O619" s="21"/>
      <c r="Q619" s="21"/>
      <c r="S619" s="21"/>
      <c r="U619" s="21"/>
      <c r="W619" s="21"/>
      <c r="Y619" s="21"/>
      <c r="AA619" s="21"/>
      <c r="AC619" s="21"/>
      <c r="AE619" s="21"/>
      <c r="AG619" s="21"/>
      <c r="AI619" s="21"/>
      <c r="AK619" s="21"/>
      <c r="AM619" s="21"/>
      <c r="AN619" s="21"/>
    </row>
    <row r="620">
      <c r="A620" s="21"/>
      <c r="B620" s="21"/>
      <c r="D620" s="21"/>
      <c r="F620" s="21"/>
      <c r="G620" s="21"/>
      <c r="I620" s="21"/>
      <c r="K620" s="21"/>
      <c r="M620" s="21"/>
      <c r="O620" s="21"/>
      <c r="Q620" s="21"/>
      <c r="S620" s="21"/>
      <c r="U620" s="21"/>
      <c r="W620" s="21"/>
      <c r="Y620" s="21"/>
      <c r="AA620" s="21"/>
      <c r="AC620" s="21"/>
      <c r="AE620" s="21"/>
      <c r="AG620" s="21"/>
      <c r="AI620" s="21"/>
      <c r="AK620" s="21"/>
      <c r="AM620" s="21"/>
      <c r="AN620" s="21"/>
    </row>
    <row r="621">
      <c r="A621" s="21"/>
      <c r="B621" s="21"/>
      <c r="D621" s="21"/>
      <c r="F621" s="21"/>
      <c r="G621" s="21"/>
      <c r="I621" s="21"/>
      <c r="K621" s="21"/>
      <c r="M621" s="21"/>
      <c r="O621" s="21"/>
      <c r="Q621" s="21"/>
      <c r="S621" s="21"/>
      <c r="U621" s="21"/>
      <c r="W621" s="21"/>
      <c r="Y621" s="21"/>
      <c r="AA621" s="21"/>
      <c r="AC621" s="21"/>
      <c r="AE621" s="21"/>
      <c r="AG621" s="21"/>
      <c r="AI621" s="21"/>
      <c r="AK621" s="21"/>
      <c r="AM621" s="21"/>
      <c r="AN621" s="21"/>
    </row>
    <row r="622">
      <c r="A622" s="21"/>
      <c r="B622" s="21"/>
      <c r="D622" s="21"/>
      <c r="F622" s="21"/>
      <c r="G622" s="21"/>
      <c r="I622" s="21"/>
      <c r="K622" s="21"/>
      <c r="M622" s="21"/>
      <c r="O622" s="21"/>
      <c r="Q622" s="21"/>
      <c r="S622" s="21"/>
      <c r="U622" s="21"/>
      <c r="W622" s="21"/>
      <c r="Y622" s="21"/>
      <c r="AA622" s="21"/>
      <c r="AC622" s="21"/>
      <c r="AE622" s="21"/>
      <c r="AG622" s="21"/>
      <c r="AI622" s="21"/>
      <c r="AK622" s="21"/>
      <c r="AM622" s="21"/>
      <c r="AN622" s="21"/>
    </row>
    <row r="623">
      <c r="A623" s="21"/>
      <c r="B623" s="21"/>
      <c r="D623" s="21"/>
      <c r="F623" s="21"/>
      <c r="G623" s="21"/>
      <c r="I623" s="21"/>
      <c r="K623" s="21"/>
      <c r="M623" s="21"/>
      <c r="O623" s="21"/>
      <c r="Q623" s="21"/>
      <c r="S623" s="21"/>
      <c r="U623" s="21"/>
      <c r="W623" s="21"/>
      <c r="Y623" s="21"/>
      <c r="AA623" s="21"/>
      <c r="AC623" s="21"/>
      <c r="AE623" s="21"/>
      <c r="AG623" s="21"/>
      <c r="AI623" s="21"/>
      <c r="AK623" s="21"/>
      <c r="AM623" s="21"/>
      <c r="AN623" s="21"/>
    </row>
    <row r="624">
      <c r="A624" s="21"/>
      <c r="B624" s="21"/>
      <c r="D624" s="21"/>
      <c r="F624" s="21"/>
      <c r="G624" s="21"/>
      <c r="I624" s="21"/>
      <c r="K624" s="21"/>
      <c r="M624" s="21"/>
      <c r="O624" s="21"/>
      <c r="Q624" s="21"/>
      <c r="S624" s="21"/>
      <c r="U624" s="21"/>
      <c r="W624" s="21"/>
      <c r="Y624" s="21"/>
      <c r="AA624" s="21"/>
      <c r="AC624" s="21"/>
      <c r="AE624" s="21"/>
      <c r="AG624" s="21"/>
      <c r="AI624" s="21"/>
      <c r="AK624" s="21"/>
      <c r="AM624" s="21"/>
      <c r="AN624" s="21"/>
    </row>
    <row r="625">
      <c r="A625" s="21"/>
      <c r="B625" s="21"/>
      <c r="D625" s="21"/>
      <c r="F625" s="21"/>
      <c r="G625" s="21"/>
      <c r="I625" s="21"/>
      <c r="K625" s="21"/>
      <c r="M625" s="21"/>
      <c r="O625" s="21"/>
      <c r="Q625" s="21"/>
      <c r="S625" s="21"/>
      <c r="U625" s="21"/>
      <c r="W625" s="21"/>
      <c r="Y625" s="21"/>
      <c r="AA625" s="21"/>
      <c r="AC625" s="21"/>
      <c r="AE625" s="21"/>
      <c r="AG625" s="21"/>
      <c r="AI625" s="21"/>
      <c r="AK625" s="21"/>
      <c r="AM625" s="21"/>
      <c r="AN625" s="21"/>
    </row>
    <row r="626">
      <c r="A626" s="21"/>
      <c r="B626" s="21"/>
      <c r="D626" s="21"/>
      <c r="F626" s="21"/>
      <c r="G626" s="21"/>
      <c r="I626" s="21"/>
      <c r="K626" s="21"/>
      <c r="M626" s="21"/>
      <c r="O626" s="21"/>
      <c r="Q626" s="21"/>
      <c r="S626" s="21"/>
      <c r="U626" s="21"/>
      <c r="W626" s="21"/>
      <c r="Y626" s="21"/>
      <c r="AA626" s="21"/>
      <c r="AC626" s="21"/>
      <c r="AE626" s="21"/>
      <c r="AG626" s="21"/>
      <c r="AI626" s="21"/>
      <c r="AK626" s="21"/>
      <c r="AM626" s="21"/>
      <c r="AN626" s="21"/>
    </row>
    <row r="627">
      <c r="A627" s="21"/>
      <c r="B627" s="21"/>
      <c r="D627" s="21"/>
      <c r="F627" s="21"/>
      <c r="G627" s="21"/>
      <c r="I627" s="21"/>
      <c r="K627" s="21"/>
      <c r="M627" s="21"/>
      <c r="O627" s="21"/>
      <c r="Q627" s="21"/>
      <c r="S627" s="21"/>
      <c r="U627" s="21"/>
      <c r="W627" s="21"/>
      <c r="Y627" s="21"/>
      <c r="AA627" s="21"/>
      <c r="AC627" s="21"/>
      <c r="AE627" s="21"/>
      <c r="AG627" s="21"/>
      <c r="AI627" s="21"/>
      <c r="AK627" s="21"/>
      <c r="AM627" s="21"/>
      <c r="AN627" s="21"/>
    </row>
    <row r="628">
      <c r="A628" s="21"/>
      <c r="B628" s="21"/>
      <c r="D628" s="21"/>
      <c r="F628" s="21"/>
      <c r="G628" s="21"/>
      <c r="I628" s="21"/>
      <c r="K628" s="21"/>
      <c r="M628" s="21"/>
      <c r="O628" s="21"/>
      <c r="Q628" s="21"/>
      <c r="S628" s="21"/>
      <c r="U628" s="21"/>
      <c r="W628" s="21"/>
      <c r="Y628" s="21"/>
      <c r="AA628" s="21"/>
      <c r="AC628" s="21"/>
      <c r="AE628" s="21"/>
      <c r="AG628" s="21"/>
      <c r="AI628" s="21"/>
      <c r="AK628" s="21"/>
      <c r="AM628" s="21"/>
      <c r="AN628" s="21"/>
    </row>
    <row r="629">
      <c r="A629" s="21"/>
      <c r="B629" s="21"/>
      <c r="D629" s="21"/>
      <c r="F629" s="21"/>
      <c r="G629" s="21"/>
      <c r="I629" s="21"/>
      <c r="K629" s="21"/>
      <c r="M629" s="21"/>
      <c r="O629" s="21"/>
      <c r="Q629" s="21"/>
      <c r="S629" s="21"/>
      <c r="U629" s="21"/>
      <c r="W629" s="21"/>
      <c r="Y629" s="21"/>
      <c r="AA629" s="21"/>
      <c r="AC629" s="21"/>
      <c r="AE629" s="21"/>
      <c r="AG629" s="21"/>
      <c r="AI629" s="21"/>
      <c r="AK629" s="21"/>
      <c r="AM629" s="21"/>
      <c r="AN629" s="21"/>
    </row>
    <row r="630">
      <c r="A630" s="21"/>
      <c r="B630" s="21"/>
      <c r="D630" s="21"/>
      <c r="F630" s="21"/>
      <c r="G630" s="21"/>
      <c r="I630" s="21"/>
      <c r="K630" s="21"/>
      <c r="M630" s="21"/>
      <c r="O630" s="21"/>
      <c r="Q630" s="21"/>
      <c r="S630" s="21"/>
      <c r="U630" s="21"/>
      <c r="W630" s="21"/>
      <c r="Y630" s="21"/>
      <c r="AA630" s="21"/>
      <c r="AC630" s="21"/>
      <c r="AE630" s="21"/>
      <c r="AG630" s="21"/>
      <c r="AI630" s="21"/>
      <c r="AK630" s="21"/>
      <c r="AM630" s="21"/>
      <c r="AN630" s="21"/>
    </row>
    <row r="631">
      <c r="A631" s="21"/>
      <c r="B631" s="21"/>
      <c r="D631" s="21"/>
      <c r="F631" s="21"/>
      <c r="G631" s="21"/>
      <c r="I631" s="21"/>
      <c r="K631" s="21"/>
      <c r="M631" s="21"/>
      <c r="O631" s="21"/>
      <c r="Q631" s="21"/>
      <c r="S631" s="21"/>
      <c r="U631" s="21"/>
      <c r="W631" s="21"/>
      <c r="Y631" s="21"/>
      <c r="AA631" s="21"/>
      <c r="AC631" s="21"/>
      <c r="AE631" s="21"/>
      <c r="AG631" s="21"/>
      <c r="AI631" s="21"/>
      <c r="AK631" s="21"/>
      <c r="AM631" s="21"/>
      <c r="AN631" s="21"/>
    </row>
    <row r="632">
      <c r="A632" s="21"/>
      <c r="B632" s="21"/>
      <c r="D632" s="21"/>
      <c r="F632" s="21"/>
      <c r="G632" s="21"/>
      <c r="I632" s="21"/>
      <c r="K632" s="21"/>
      <c r="M632" s="21"/>
      <c r="O632" s="21"/>
      <c r="Q632" s="21"/>
      <c r="S632" s="21"/>
      <c r="U632" s="21"/>
      <c r="W632" s="21"/>
      <c r="Y632" s="21"/>
      <c r="AA632" s="21"/>
      <c r="AC632" s="21"/>
      <c r="AE632" s="21"/>
      <c r="AG632" s="21"/>
      <c r="AI632" s="21"/>
      <c r="AK632" s="21"/>
      <c r="AM632" s="21"/>
      <c r="AN632" s="21"/>
    </row>
    <row r="633">
      <c r="A633" s="21"/>
      <c r="B633" s="21"/>
      <c r="D633" s="21"/>
      <c r="F633" s="21"/>
      <c r="G633" s="21"/>
      <c r="I633" s="21"/>
      <c r="K633" s="21"/>
      <c r="M633" s="21"/>
      <c r="O633" s="21"/>
      <c r="Q633" s="21"/>
      <c r="S633" s="21"/>
      <c r="U633" s="21"/>
      <c r="W633" s="21"/>
      <c r="Y633" s="21"/>
      <c r="AA633" s="21"/>
      <c r="AC633" s="21"/>
      <c r="AE633" s="21"/>
      <c r="AG633" s="21"/>
      <c r="AI633" s="21"/>
      <c r="AK633" s="21"/>
      <c r="AM633" s="21"/>
      <c r="AN633" s="21"/>
    </row>
    <row r="634">
      <c r="A634" s="21"/>
      <c r="B634" s="21"/>
      <c r="D634" s="21"/>
      <c r="F634" s="21"/>
      <c r="G634" s="21"/>
      <c r="I634" s="21"/>
      <c r="K634" s="21"/>
      <c r="M634" s="21"/>
      <c r="O634" s="21"/>
      <c r="Q634" s="21"/>
      <c r="S634" s="21"/>
      <c r="U634" s="21"/>
      <c r="W634" s="21"/>
      <c r="Y634" s="21"/>
      <c r="AA634" s="21"/>
      <c r="AC634" s="21"/>
      <c r="AE634" s="21"/>
      <c r="AG634" s="21"/>
      <c r="AI634" s="21"/>
      <c r="AK634" s="21"/>
      <c r="AM634" s="21"/>
      <c r="AN634" s="21"/>
    </row>
    <row r="635">
      <c r="A635" s="21"/>
      <c r="B635" s="21"/>
      <c r="D635" s="21"/>
      <c r="F635" s="21"/>
      <c r="G635" s="21"/>
      <c r="I635" s="21"/>
      <c r="K635" s="21"/>
      <c r="M635" s="21"/>
      <c r="O635" s="21"/>
      <c r="Q635" s="21"/>
      <c r="S635" s="21"/>
      <c r="U635" s="21"/>
      <c r="W635" s="21"/>
      <c r="Y635" s="21"/>
      <c r="AA635" s="21"/>
      <c r="AC635" s="21"/>
      <c r="AE635" s="21"/>
      <c r="AG635" s="21"/>
      <c r="AI635" s="21"/>
      <c r="AK635" s="21"/>
      <c r="AM635" s="21"/>
      <c r="AN635" s="21"/>
    </row>
    <row r="636">
      <c r="A636" s="21"/>
      <c r="B636" s="21"/>
      <c r="D636" s="21"/>
      <c r="F636" s="21"/>
      <c r="G636" s="21"/>
      <c r="I636" s="21"/>
      <c r="K636" s="21"/>
      <c r="M636" s="21"/>
      <c r="O636" s="21"/>
      <c r="Q636" s="21"/>
      <c r="S636" s="21"/>
      <c r="U636" s="21"/>
      <c r="W636" s="21"/>
      <c r="Y636" s="21"/>
      <c r="AA636" s="21"/>
      <c r="AC636" s="21"/>
      <c r="AE636" s="21"/>
      <c r="AG636" s="21"/>
      <c r="AI636" s="21"/>
      <c r="AK636" s="21"/>
      <c r="AM636" s="21"/>
      <c r="AN636" s="21"/>
    </row>
    <row r="637">
      <c r="A637" s="21"/>
      <c r="B637" s="21"/>
      <c r="D637" s="21"/>
      <c r="F637" s="21"/>
      <c r="G637" s="21"/>
      <c r="I637" s="21"/>
      <c r="K637" s="21"/>
      <c r="M637" s="21"/>
      <c r="O637" s="21"/>
      <c r="Q637" s="21"/>
      <c r="S637" s="21"/>
      <c r="U637" s="21"/>
      <c r="W637" s="21"/>
      <c r="Y637" s="21"/>
      <c r="AA637" s="21"/>
      <c r="AC637" s="21"/>
      <c r="AE637" s="21"/>
      <c r="AG637" s="21"/>
      <c r="AI637" s="21"/>
      <c r="AK637" s="21"/>
      <c r="AM637" s="21"/>
      <c r="AN637" s="21"/>
    </row>
    <row r="638">
      <c r="A638" s="21"/>
      <c r="B638" s="21"/>
      <c r="D638" s="21"/>
      <c r="F638" s="21"/>
      <c r="G638" s="21"/>
      <c r="I638" s="21"/>
      <c r="K638" s="21"/>
      <c r="M638" s="21"/>
      <c r="O638" s="21"/>
      <c r="Q638" s="21"/>
      <c r="S638" s="21"/>
      <c r="U638" s="21"/>
      <c r="W638" s="21"/>
      <c r="Y638" s="21"/>
      <c r="AA638" s="21"/>
      <c r="AC638" s="21"/>
      <c r="AE638" s="21"/>
      <c r="AG638" s="21"/>
      <c r="AI638" s="21"/>
      <c r="AK638" s="21"/>
      <c r="AM638" s="21"/>
      <c r="AN638" s="21"/>
    </row>
    <row r="639">
      <c r="A639" s="21"/>
      <c r="B639" s="21"/>
      <c r="D639" s="21"/>
      <c r="F639" s="21"/>
      <c r="G639" s="21"/>
      <c r="I639" s="21"/>
      <c r="K639" s="21"/>
      <c r="M639" s="21"/>
      <c r="O639" s="21"/>
      <c r="Q639" s="21"/>
      <c r="S639" s="21"/>
      <c r="U639" s="21"/>
      <c r="W639" s="21"/>
      <c r="Y639" s="21"/>
      <c r="AA639" s="21"/>
      <c r="AC639" s="21"/>
      <c r="AE639" s="21"/>
      <c r="AG639" s="21"/>
      <c r="AI639" s="21"/>
      <c r="AK639" s="21"/>
      <c r="AM639" s="21"/>
      <c r="AN639" s="21"/>
    </row>
    <row r="640">
      <c r="A640" s="21"/>
      <c r="B640" s="21"/>
      <c r="D640" s="21"/>
      <c r="F640" s="21"/>
      <c r="G640" s="21"/>
      <c r="I640" s="21"/>
      <c r="K640" s="21"/>
      <c r="M640" s="21"/>
      <c r="O640" s="21"/>
      <c r="Q640" s="21"/>
      <c r="S640" s="21"/>
      <c r="U640" s="21"/>
      <c r="W640" s="21"/>
      <c r="Y640" s="21"/>
      <c r="AA640" s="21"/>
      <c r="AC640" s="21"/>
      <c r="AE640" s="21"/>
      <c r="AG640" s="21"/>
      <c r="AI640" s="21"/>
      <c r="AK640" s="21"/>
      <c r="AM640" s="21"/>
      <c r="AN640" s="21"/>
    </row>
    <row r="641">
      <c r="A641" s="21"/>
      <c r="B641" s="21"/>
      <c r="D641" s="21"/>
      <c r="F641" s="21"/>
      <c r="G641" s="21"/>
      <c r="I641" s="21"/>
      <c r="K641" s="21"/>
      <c r="M641" s="21"/>
      <c r="O641" s="21"/>
      <c r="Q641" s="21"/>
      <c r="S641" s="21"/>
      <c r="U641" s="21"/>
      <c r="W641" s="21"/>
      <c r="Y641" s="21"/>
      <c r="AA641" s="21"/>
      <c r="AC641" s="21"/>
      <c r="AE641" s="21"/>
      <c r="AG641" s="21"/>
      <c r="AI641" s="21"/>
      <c r="AK641" s="21"/>
      <c r="AM641" s="21"/>
      <c r="AN641" s="21"/>
    </row>
    <row r="642">
      <c r="A642" s="21"/>
      <c r="B642" s="21"/>
      <c r="D642" s="21"/>
      <c r="F642" s="21"/>
      <c r="G642" s="21"/>
      <c r="I642" s="21"/>
      <c r="K642" s="21"/>
      <c r="M642" s="21"/>
      <c r="O642" s="21"/>
      <c r="Q642" s="21"/>
      <c r="S642" s="21"/>
      <c r="U642" s="21"/>
      <c r="W642" s="21"/>
      <c r="Y642" s="21"/>
      <c r="AA642" s="21"/>
      <c r="AC642" s="21"/>
      <c r="AE642" s="21"/>
      <c r="AG642" s="21"/>
      <c r="AI642" s="21"/>
      <c r="AK642" s="21"/>
      <c r="AM642" s="21"/>
      <c r="AN642" s="21"/>
    </row>
    <row r="643">
      <c r="A643" s="21"/>
      <c r="B643" s="21"/>
      <c r="D643" s="21"/>
      <c r="F643" s="21"/>
      <c r="G643" s="21"/>
      <c r="I643" s="21"/>
      <c r="K643" s="21"/>
      <c r="M643" s="21"/>
      <c r="O643" s="21"/>
      <c r="Q643" s="21"/>
      <c r="S643" s="21"/>
      <c r="U643" s="21"/>
      <c r="W643" s="21"/>
      <c r="Y643" s="21"/>
      <c r="AA643" s="21"/>
      <c r="AC643" s="21"/>
      <c r="AE643" s="21"/>
      <c r="AG643" s="21"/>
      <c r="AI643" s="21"/>
      <c r="AK643" s="21"/>
      <c r="AM643" s="21"/>
      <c r="AN643" s="21"/>
    </row>
    <row r="644">
      <c r="A644" s="21"/>
      <c r="B644" s="21"/>
      <c r="D644" s="21"/>
      <c r="F644" s="21"/>
      <c r="G644" s="21"/>
      <c r="I644" s="21"/>
      <c r="K644" s="21"/>
      <c r="M644" s="21"/>
      <c r="O644" s="21"/>
      <c r="Q644" s="21"/>
      <c r="S644" s="21"/>
      <c r="U644" s="21"/>
      <c r="W644" s="21"/>
      <c r="Y644" s="21"/>
      <c r="AA644" s="21"/>
      <c r="AC644" s="21"/>
      <c r="AE644" s="21"/>
      <c r="AG644" s="21"/>
      <c r="AI644" s="21"/>
      <c r="AK644" s="21"/>
      <c r="AM644" s="21"/>
      <c r="AN644" s="21"/>
    </row>
    <row r="645">
      <c r="A645" s="21"/>
      <c r="B645" s="21"/>
      <c r="D645" s="21"/>
      <c r="F645" s="21"/>
      <c r="G645" s="21"/>
      <c r="I645" s="21"/>
      <c r="K645" s="21"/>
      <c r="M645" s="21"/>
      <c r="O645" s="21"/>
      <c r="Q645" s="21"/>
      <c r="S645" s="21"/>
      <c r="U645" s="21"/>
      <c r="W645" s="21"/>
      <c r="Y645" s="21"/>
      <c r="AA645" s="21"/>
      <c r="AC645" s="21"/>
      <c r="AE645" s="21"/>
      <c r="AG645" s="21"/>
      <c r="AI645" s="21"/>
      <c r="AK645" s="21"/>
      <c r="AM645" s="21"/>
      <c r="AN645" s="21"/>
    </row>
    <row r="646">
      <c r="A646" s="21"/>
      <c r="B646" s="21"/>
      <c r="D646" s="21"/>
      <c r="F646" s="21"/>
      <c r="G646" s="21"/>
      <c r="I646" s="21"/>
      <c r="K646" s="21"/>
      <c r="M646" s="21"/>
      <c r="O646" s="21"/>
      <c r="Q646" s="21"/>
      <c r="S646" s="21"/>
      <c r="U646" s="21"/>
      <c r="W646" s="21"/>
      <c r="Y646" s="21"/>
      <c r="AA646" s="21"/>
      <c r="AC646" s="21"/>
      <c r="AE646" s="21"/>
      <c r="AG646" s="21"/>
      <c r="AI646" s="21"/>
      <c r="AK646" s="21"/>
      <c r="AM646" s="21"/>
      <c r="AN646" s="21"/>
    </row>
    <row r="647">
      <c r="A647" s="21"/>
      <c r="B647" s="21"/>
      <c r="D647" s="21"/>
      <c r="F647" s="21"/>
      <c r="G647" s="21"/>
      <c r="I647" s="21"/>
      <c r="K647" s="21"/>
      <c r="M647" s="21"/>
      <c r="O647" s="21"/>
      <c r="Q647" s="21"/>
      <c r="S647" s="21"/>
      <c r="U647" s="21"/>
      <c r="W647" s="21"/>
      <c r="Y647" s="21"/>
      <c r="AA647" s="21"/>
      <c r="AC647" s="21"/>
      <c r="AE647" s="21"/>
      <c r="AG647" s="21"/>
      <c r="AI647" s="21"/>
      <c r="AK647" s="21"/>
      <c r="AM647" s="21"/>
      <c r="AN647" s="21"/>
    </row>
    <row r="648">
      <c r="A648" s="21"/>
      <c r="B648" s="21"/>
      <c r="D648" s="21"/>
      <c r="F648" s="21"/>
      <c r="G648" s="21"/>
      <c r="I648" s="21"/>
      <c r="K648" s="21"/>
      <c r="M648" s="21"/>
      <c r="O648" s="21"/>
      <c r="Q648" s="21"/>
      <c r="S648" s="21"/>
      <c r="U648" s="21"/>
      <c r="W648" s="21"/>
      <c r="Y648" s="21"/>
      <c r="AA648" s="21"/>
      <c r="AC648" s="21"/>
      <c r="AE648" s="21"/>
      <c r="AG648" s="21"/>
      <c r="AI648" s="21"/>
      <c r="AK648" s="21"/>
      <c r="AM648" s="21"/>
      <c r="AN648" s="21"/>
    </row>
    <row r="649">
      <c r="A649" s="21"/>
      <c r="B649" s="21"/>
      <c r="D649" s="21"/>
      <c r="F649" s="21"/>
      <c r="G649" s="21"/>
      <c r="I649" s="21"/>
      <c r="K649" s="21"/>
      <c r="M649" s="21"/>
      <c r="O649" s="21"/>
      <c r="Q649" s="21"/>
      <c r="S649" s="21"/>
      <c r="U649" s="21"/>
      <c r="W649" s="21"/>
      <c r="Y649" s="21"/>
      <c r="AA649" s="21"/>
      <c r="AC649" s="21"/>
      <c r="AE649" s="21"/>
      <c r="AG649" s="21"/>
      <c r="AI649" s="21"/>
      <c r="AK649" s="21"/>
      <c r="AM649" s="21"/>
      <c r="AN649" s="21"/>
    </row>
    <row r="650">
      <c r="A650" s="21"/>
      <c r="B650" s="21"/>
      <c r="D650" s="21"/>
      <c r="F650" s="21"/>
      <c r="G650" s="21"/>
      <c r="I650" s="21"/>
      <c r="K650" s="21"/>
      <c r="M650" s="21"/>
      <c r="O650" s="21"/>
      <c r="Q650" s="21"/>
      <c r="S650" s="21"/>
      <c r="U650" s="21"/>
      <c r="W650" s="21"/>
      <c r="Y650" s="21"/>
      <c r="AA650" s="21"/>
      <c r="AC650" s="21"/>
      <c r="AE650" s="21"/>
      <c r="AG650" s="21"/>
      <c r="AI650" s="21"/>
      <c r="AK650" s="21"/>
      <c r="AM650" s="21"/>
      <c r="AN650" s="21"/>
    </row>
    <row r="651">
      <c r="A651" s="21"/>
      <c r="B651" s="21"/>
      <c r="D651" s="21"/>
      <c r="F651" s="21"/>
      <c r="G651" s="21"/>
      <c r="I651" s="21"/>
      <c r="K651" s="21"/>
      <c r="M651" s="21"/>
      <c r="O651" s="21"/>
      <c r="Q651" s="21"/>
      <c r="S651" s="21"/>
      <c r="U651" s="21"/>
      <c r="W651" s="21"/>
      <c r="Y651" s="21"/>
      <c r="AA651" s="21"/>
      <c r="AC651" s="21"/>
      <c r="AE651" s="21"/>
      <c r="AG651" s="21"/>
      <c r="AI651" s="21"/>
      <c r="AK651" s="21"/>
      <c r="AM651" s="21"/>
      <c r="AN651" s="21"/>
    </row>
    <row r="652">
      <c r="A652" s="21"/>
      <c r="B652" s="21"/>
      <c r="D652" s="21"/>
      <c r="F652" s="21"/>
      <c r="G652" s="21"/>
      <c r="I652" s="21"/>
      <c r="K652" s="21"/>
      <c r="M652" s="21"/>
      <c r="O652" s="21"/>
      <c r="Q652" s="21"/>
      <c r="S652" s="21"/>
      <c r="U652" s="21"/>
      <c r="W652" s="21"/>
      <c r="Y652" s="21"/>
      <c r="AA652" s="21"/>
      <c r="AC652" s="21"/>
      <c r="AE652" s="21"/>
      <c r="AG652" s="21"/>
      <c r="AI652" s="21"/>
      <c r="AK652" s="21"/>
      <c r="AM652" s="21"/>
      <c r="AN652" s="21"/>
    </row>
    <row r="653">
      <c r="A653" s="21"/>
      <c r="B653" s="21"/>
      <c r="D653" s="21"/>
      <c r="F653" s="21"/>
      <c r="G653" s="21"/>
      <c r="I653" s="21"/>
      <c r="K653" s="21"/>
      <c r="M653" s="21"/>
      <c r="O653" s="21"/>
      <c r="Q653" s="21"/>
      <c r="S653" s="21"/>
      <c r="U653" s="21"/>
      <c r="W653" s="21"/>
      <c r="Y653" s="21"/>
      <c r="AA653" s="21"/>
      <c r="AC653" s="21"/>
      <c r="AE653" s="21"/>
      <c r="AG653" s="21"/>
      <c r="AI653" s="21"/>
      <c r="AK653" s="21"/>
      <c r="AM653" s="21"/>
      <c r="AN653" s="21"/>
    </row>
    <row r="654">
      <c r="A654" s="21"/>
      <c r="B654" s="21"/>
      <c r="D654" s="21"/>
      <c r="F654" s="21"/>
      <c r="G654" s="21"/>
      <c r="I654" s="21"/>
      <c r="K654" s="21"/>
      <c r="M654" s="21"/>
      <c r="O654" s="21"/>
      <c r="Q654" s="21"/>
      <c r="S654" s="21"/>
      <c r="U654" s="21"/>
      <c r="W654" s="21"/>
      <c r="Y654" s="21"/>
      <c r="AA654" s="21"/>
      <c r="AC654" s="21"/>
      <c r="AE654" s="21"/>
      <c r="AG654" s="21"/>
      <c r="AI654" s="21"/>
      <c r="AK654" s="21"/>
      <c r="AM654" s="21"/>
      <c r="AN654" s="21"/>
    </row>
    <row r="655">
      <c r="A655" s="21"/>
      <c r="B655" s="21"/>
      <c r="D655" s="21"/>
      <c r="F655" s="21"/>
      <c r="G655" s="21"/>
      <c r="I655" s="21"/>
      <c r="K655" s="21"/>
      <c r="M655" s="21"/>
      <c r="O655" s="21"/>
      <c r="Q655" s="21"/>
      <c r="S655" s="21"/>
      <c r="U655" s="21"/>
      <c r="W655" s="21"/>
      <c r="Y655" s="21"/>
      <c r="AA655" s="21"/>
      <c r="AC655" s="21"/>
      <c r="AE655" s="21"/>
      <c r="AG655" s="21"/>
      <c r="AI655" s="21"/>
      <c r="AK655" s="21"/>
      <c r="AM655" s="21"/>
      <c r="AN655" s="21"/>
    </row>
    <row r="656">
      <c r="A656" s="21"/>
      <c r="B656" s="21"/>
      <c r="D656" s="21"/>
      <c r="F656" s="21"/>
      <c r="G656" s="21"/>
      <c r="I656" s="21"/>
      <c r="K656" s="21"/>
      <c r="M656" s="21"/>
      <c r="O656" s="21"/>
      <c r="Q656" s="21"/>
      <c r="S656" s="21"/>
      <c r="U656" s="21"/>
      <c r="W656" s="21"/>
      <c r="Y656" s="21"/>
      <c r="AA656" s="21"/>
      <c r="AC656" s="21"/>
      <c r="AE656" s="21"/>
      <c r="AG656" s="21"/>
      <c r="AI656" s="21"/>
      <c r="AK656" s="21"/>
      <c r="AM656" s="21"/>
      <c r="AN656" s="21"/>
    </row>
    <row r="657">
      <c r="A657" s="21"/>
      <c r="B657" s="21"/>
      <c r="D657" s="21"/>
      <c r="F657" s="21"/>
      <c r="G657" s="21"/>
      <c r="I657" s="21"/>
      <c r="K657" s="21"/>
      <c r="M657" s="21"/>
      <c r="O657" s="21"/>
      <c r="Q657" s="21"/>
      <c r="S657" s="21"/>
      <c r="U657" s="21"/>
      <c r="W657" s="21"/>
      <c r="Y657" s="21"/>
      <c r="AA657" s="21"/>
      <c r="AC657" s="21"/>
      <c r="AE657" s="21"/>
      <c r="AG657" s="21"/>
      <c r="AI657" s="21"/>
      <c r="AK657" s="21"/>
      <c r="AM657" s="21"/>
      <c r="AN657" s="21"/>
    </row>
    <row r="658">
      <c r="A658" s="21"/>
      <c r="B658" s="21"/>
      <c r="D658" s="21"/>
      <c r="F658" s="21"/>
      <c r="G658" s="21"/>
      <c r="I658" s="21"/>
      <c r="K658" s="21"/>
      <c r="M658" s="21"/>
      <c r="O658" s="21"/>
      <c r="Q658" s="21"/>
      <c r="S658" s="21"/>
      <c r="U658" s="21"/>
      <c r="W658" s="21"/>
      <c r="Y658" s="21"/>
      <c r="AA658" s="21"/>
      <c r="AC658" s="21"/>
      <c r="AE658" s="21"/>
      <c r="AG658" s="21"/>
      <c r="AI658" s="21"/>
      <c r="AK658" s="21"/>
      <c r="AM658" s="21"/>
      <c r="AN658" s="21"/>
    </row>
    <row r="659">
      <c r="A659" s="21"/>
      <c r="B659" s="21"/>
      <c r="D659" s="21"/>
      <c r="F659" s="21"/>
      <c r="G659" s="21"/>
      <c r="I659" s="21"/>
      <c r="K659" s="21"/>
      <c r="M659" s="21"/>
      <c r="O659" s="21"/>
      <c r="Q659" s="21"/>
      <c r="S659" s="21"/>
      <c r="U659" s="21"/>
      <c r="W659" s="21"/>
      <c r="Y659" s="21"/>
      <c r="AA659" s="21"/>
      <c r="AC659" s="21"/>
      <c r="AE659" s="21"/>
      <c r="AG659" s="21"/>
      <c r="AI659" s="21"/>
      <c r="AK659" s="21"/>
      <c r="AM659" s="21"/>
      <c r="AN659" s="21"/>
    </row>
    <row r="660">
      <c r="A660" s="21"/>
      <c r="B660" s="21"/>
      <c r="D660" s="21"/>
      <c r="F660" s="21"/>
      <c r="G660" s="21"/>
      <c r="I660" s="21"/>
      <c r="K660" s="21"/>
      <c r="M660" s="21"/>
      <c r="O660" s="21"/>
      <c r="Q660" s="21"/>
      <c r="S660" s="21"/>
      <c r="U660" s="21"/>
      <c r="W660" s="21"/>
      <c r="Y660" s="21"/>
      <c r="AA660" s="21"/>
      <c r="AC660" s="21"/>
      <c r="AE660" s="21"/>
      <c r="AG660" s="21"/>
      <c r="AI660" s="21"/>
      <c r="AK660" s="21"/>
      <c r="AM660" s="21"/>
      <c r="AN660" s="21"/>
    </row>
    <row r="661">
      <c r="A661" s="21"/>
      <c r="B661" s="21"/>
      <c r="D661" s="21"/>
      <c r="F661" s="21"/>
      <c r="G661" s="21"/>
      <c r="I661" s="21"/>
      <c r="K661" s="21"/>
      <c r="M661" s="21"/>
      <c r="O661" s="21"/>
      <c r="Q661" s="21"/>
      <c r="S661" s="21"/>
      <c r="U661" s="21"/>
      <c r="W661" s="21"/>
      <c r="Y661" s="21"/>
      <c r="AA661" s="21"/>
      <c r="AC661" s="21"/>
      <c r="AE661" s="21"/>
      <c r="AG661" s="21"/>
      <c r="AI661" s="21"/>
      <c r="AK661" s="21"/>
      <c r="AM661" s="21"/>
      <c r="AN661" s="21"/>
    </row>
    <row r="662">
      <c r="A662" s="21"/>
      <c r="B662" s="21"/>
      <c r="D662" s="21"/>
      <c r="F662" s="21"/>
      <c r="G662" s="21"/>
      <c r="I662" s="21"/>
      <c r="K662" s="21"/>
      <c r="M662" s="21"/>
      <c r="O662" s="21"/>
      <c r="Q662" s="21"/>
      <c r="S662" s="21"/>
      <c r="U662" s="21"/>
      <c r="W662" s="21"/>
      <c r="Y662" s="21"/>
      <c r="AA662" s="21"/>
      <c r="AC662" s="21"/>
      <c r="AE662" s="21"/>
      <c r="AG662" s="21"/>
      <c r="AI662" s="21"/>
      <c r="AK662" s="21"/>
      <c r="AM662" s="21"/>
      <c r="AN662" s="21"/>
    </row>
    <row r="663">
      <c r="A663" s="21"/>
      <c r="B663" s="21"/>
      <c r="D663" s="21"/>
      <c r="F663" s="21"/>
      <c r="G663" s="21"/>
      <c r="I663" s="21"/>
      <c r="K663" s="21"/>
      <c r="M663" s="21"/>
      <c r="O663" s="21"/>
      <c r="Q663" s="21"/>
      <c r="S663" s="21"/>
      <c r="U663" s="21"/>
      <c r="W663" s="21"/>
      <c r="Y663" s="21"/>
      <c r="AA663" s="21"/>
      <c r="AC663" s="21"/>
      <c r="AE663" s="21"/>
      <c r="AG663" s="21"/>
      <c r="AI663" s="21"/>
      <c r="AK663" s="21"/>
      <c r="AM663" s="21"/>
      <c r="AN663" s="21"/>
    </row>
    <row r="664">
      <c r="A664" s="21"/>
      <c r="B664" s="21"/>
      <c r="D664" s="21"/>
      <c r="F664" s="21"/>
      <c r="G664" s="21"/>
      <c r="I664" s="21"/>
      <c r="K664" s="21"/>
      <c r="M664" s="21"/>
      <c r="O664" s="21"/>
      <c r="Q664" s="21"/>
      <c r="S664" s="21"/>
      <c r="U664" s="21"/>
      <c r="W664" s="21"/>
      <c r="Y664" s="21"/>
      <c r="AA664" s="21"/>
      <c r="AC664" s="21"/>
      <c r="AE664" s="21"/>
      <c r="AG664" s="21"/>
      <c r="AI664" s="21"/>
      <c r="AK664" s="21"/>
      <c r="AM664" s="21"/>
      <c r="AN664" s="21"/>
    </row>
    <row r="665">
      <c r="A665" s="21"/>
      <c r="B665" s="21"/>
      <c r="D665" s="21"/>
      <c r="F665" s="21"/>
      <c r="G665" s="21"/>
      <c r="I665" s="21"/>
      <c r="K665" s="21"/>
      <c r="M665" s="21"/>
      <c r="O665" s="21"/>
      <c r="Q665" s="21"/>
      <c r="S665" s="21"/>
      <c r="U665" s="21"/>
      <c r="W665" s="21"/>
      <c r="Y665" s="21"/>
      <c r="AA665" s="21"/>
      <c r="AC665" s="21"/>
      <c r="AE665" s="21"/>
      <c r="AG665" s="21"/>
      <c r="AI665" s="21"/>
      <c r="AK665" s="21"/>
      <c r="AM665" s="21"/>
      <c r="AN665" s="21"/>
    </row>
    <row r="666">
      <c r="A666" s="21"/>
      <c r="B666" s="21"/>
      <c r="D666" s="21"/>
      <c r="F666" s="21"/>
      <c r="G666" s="21"/>
      <c r="I666" s="21"/>
      <c r="K666" s="21"/>
      <c r="M666" s="21"/>
      <c r="O666" s="21"/>
      <c r="Q666" s="21"/>
      <c r="S666" s="21"/>
      <c r="U666" s="21"/>
      <c r="W666" s="21"/>
      <c r="Y666" s="21"/>
      <c r="AA666" s="21"/>
      <c r="AC666" s="21"/>
      <c r="AE666" s="21"/>
      <c r="AG666" s="21"/>
      <c r="AI666" s="21"/>
      <c r="AK666" s="21"/>
      <c r="AM666" s="21"/>
      <c r="AN666" s="21"/>
    </row>
    <row r="667">
      <c r="A667" s="21"/>
      <c r="B667" s="21"/>
      <c r="D667" s="21"/>
      <c r="F667" s="21"/>
      <c r="G667" s="21"/>
      <c r="I667" s="21"/>
      <c r="K667" s="21"/>
      <c r="M667" s="21"/>
      <c r="O667" s="21"/>
      <c r="Q667" s="21"/>
      <c r="S667" s="21"/>
      <c r="U667" s="21"/>
      <c r="W667" s="21"/>
      <c r="Y667" s="21"/>
      <c r="AA667" s="21"/>
      <c r="AC667" s="21"/>
      <c r="AE667" s="21"/>
      <c r="AG667" s="21"/>
      <c r="AI667" s="21"/>
      <c r="AK667" s="21"/>
      <c r="AM667" s="21"/>
      <c r="AN667" s="21"/>
    </row>
    <row r="668">
      <c r="A668" s="21"/>
      <c r="B668" s="21"/>
      <c r="D668" s="21"/>
      <c r="F668" s="21"/>
      <c r="G668" s="21"/>
      <c r="I668" s="21"/>
      <c r="K668" s="21"/>
      <c r="M668" s="21"/>
      <c r="O668" s="21"/>
      <c r="Q668" s="21"/>
      <c r="S668" s="21"/>
      <c r="U668" s="21"/>
      <c r="W668" s="21"/>
      <c r="Y668" s="21"/>
      <c r="AA668" s="21"/>
      <c r="AC668" s="21"/>
      <c r="AE668" s="21"/>
      <c r="AG668" s="21"/>
      <c r="AI668" s="21"/>
      <c r="AK668" s="21"/>
      <c r="AM668" s="21"/>
      <c r="AN668" s="21"/>
    </row>
    <row r="669">
      <c r="A669" s="21"/>
      <c r="B669" s="21"/>
      <c r="D669" s="21"/>
      <c r="F669" s="21"/>
      <c r="G669" s="21"/>
      <c r="I669" s="21"/>
      <c r="K669" s="21"/>
      <c r="M669" s="21"/>
      <c r="O669" s="21"/>
      <c r="Q669" s="21"/>
      <c r="S669" s="21"/>
      <c r="U669" s="21"/>
      <c r="W669" s="21"/>
      <c r="Y669" s="21"/>
      <c r="AA669" s="21"/>
      <c r="AC669" s="21"/>
      <c r="AE669" s="21"/>
      <c r="AG669" s="21"/>
      <c r="AI669" s="21"/>
      <c r="AK669" s="21"/>
      <c r="AM669" s="21"/>
      <c r="AN669" s="21"/>
    </row>
    <row r="670">
      <c r="A670" s="21"/>
      <c r="B670" s="21"/>
      <c r="D670" s="21"/>
      <c r="F670" s="21"/>
      <c r="G670" s="21"/>
      <c r="I670" s="21"/>
      <c r="K670" s="21"/>
      <c r="M670" s="21"/>
      <c r="O670" s="21"/>
      <c r="Q670" s="21"/>
      <c r="S670" s="21"/>
      <c r="U670" s="21"/>
      <c r="W670" s="21"/>
      <c r="Y670" s="21"/>
      <c r="AA670" s="21"/>
      <c r="AC670" s="21"/>
      <c r="AE670" s="21"/>
      <c r="AG670" s="21"/>
      <c r="AI670" s="21"/>
      <c r="AK670" s="21"/>
      <c r="AM670" s="21"/>
      <c r="AN670" s="21"/>
    </row>
    <row r="671">
      <c r="A671" s="21"/>
      <c r="B671" s="21"/>
      <c r="D671" s="21"/>
      <c r="F671" s="21"/>
      <c r="G671" s="21"/>
      <c r="I671" s="21"/>
      <c r="K671" s="21"/>
      <c r="M671" s="21"/>
      <c r="O671" s="21"/>
      <c r="Q671" s="21"/>
      <c r="S671" s="21"/>
      <c r="U671" s="21"/>
      <c r="W671" s="21"/>
      <c r="Y671" s="21"/>
      <c r="AA671" s="21"/>
      <c r="AC671" s="21"/>
      <c r="AE671" s="21"/>
      <c r="AG671" s="21"/>
      <c r="AI671" s="21"/>
      <c r="AK671" s="21"/>
      <c r="AM671" s="21"/>
      <c r="AN671" s="21"/>
    </row>
    <row r="672">
      <c r="A672" s="21"/>
      <c r="B672" s="21"/>
      <c r="D672" s="21"/>
      <c r="F672" s="21"/>
      <c r="G672" s="21"/>
      <c r="I672" s="21"/>
      <c r="K672" s="21"/>
      <c r="M672" s="21"/>
      <c r="O672" s="21"/>
      <c r="Q672" s="21"/>
      <c r="S672" s="21"/>
      <c r="U672" s="21"/>
      <c r="W672" s="21"/>
      <c r="Y672" s="21"/>
      <c r="AA672" s="21"/>
      <c r="AC672" s="21"/>
      <c r="AE672" s="21"/>
      <c r="AG672" s="21"/>
      <c r="AI672" s="21"/>
      <c r="AK672" s="21"/>
      <c r="AM672" s="21"/>
      <c r="AN672" s="21"/>
    </row>
    <row r="673">
      <c r="A673" s="21"/>
      <c r="B673" s="21"/>
      <c r="D673" s="21"/>
      <c r="F673" s="21"/>
      <c r="G673" s="21"/>
      <c r="I673" s="21"/>
      <c r="K673" s="21"/>
      <c r="M673" s="21"/>
      <c r="O673" s="21"/>
      <c r="Q673" s="21"/>
      <c r="S673" s="21"/>
      <c r="U673" s="21"/>
      <c r="W673" s="21"/>
      <c r="Y673" s="21"/>
      <c r="AA673" s="21"/>
      <c r="AC673" s="21"/>
      <c r="AE673" s="21"/>
      <c r="AG673" s="21"/>
      <c r="AI673" s="21"/>
      <c r="AK673" s="21"/>
      <c r="AM673" s="21"/>
      <c r="AN673" s="21"/>
    </row>
    <row r="674">
      <c r="A674" s="21"/>
      <c r="B674" s="21"/>
      <c r="D674" s="21"/>
      <c r="F674" s="21"/>
      <c r="G674" s="21"/>
      <c r="I674" s="21"/>
      <c r="K674" s="21"/>
      <c r="M674" s="21"/>
      <c r="O674" s="21"/>
      <c r="Q674" s="21"/>
      <c r="S674" s="21"/>
      <c r="U674" s="21"/>
      <c r="W674" s="21"/>
      <c r="Y674" s="21"/>
      <c r="AA674" s="21"/>
      <c r="AC674" s="21"/>
      <c r="AE674" s="21"/>
      <c r="AG674" s="21"/>
      <c r="AI674" s="21"/>
      <c r="AK674" s="21"/>
      <c r="AM674" s="21"/>
      <c r="AN674" s="21"/>
    </row>
    <row r="675">
      <c r="A675" s="21"/>
      <c r="B675" s="21"/>
      <c r="D675" s="21"/>
      <c r="F675" s="21"/>
      <c r="G675" s="21"/>
      <c r="I675" s="21"/>
      <c r="K675" s="21"/>
      <c r="M675" s="21"/>
      <c r="O675" s="21"/>
      <c r="Q675" s="21"/>
      <c r="S675" s="21"/>
      <c r="U675" s="21"/>
      <c r="W675" s="21"/>
      <c r="Y675" s="21"/>
      <c r="AA675" s="21"/>
      <c r="AC675" s="21"/>
      <c r="AE675" s="21"/>
      <c r="AG675" s="21"/>
      <c r="AI675" s="21"/>
      <c r="AK675" s="21"/>
      <c r="AM675" s="21"/>
      <c r="AN675" s="21"/>
    </row>
    <row r="676">
      <c r="A676" s="21"/>
      <c r="B676" s="21"/>
      <c r="D676" s="21"/>
      <c r="F676" s="21"/>
      <c r="G676" s="21"/>
      <c r="I676" s="21"/>
      <c r="K676" s="21"/>
      <c r="M676" s="21"/>
      <c r="O676" s="21"/>
      <c r="Q676" s="21"/>
      <c r="S676" s="21"/>
      <c r="U676" s="21"/>
      <c r="W676" s="21"/>
      <c r="Y676" s="21"/>
      <c r="AA676" s="21"/>
      <c r="AC676" s="21"/>
      <c r="AE676" s="21"/>
      <c r="AG676" s="21"/>
      <c r="AI676" s="21"/>
      <c r="AK676" s="21"/>
      <c r="AM676" s="21"/>
      <c r="AN676" s="21"/>
    </row>
    <row r="677">
      <c r="A677" s="21"/>
      <c r="B677" s="21"/>
      <c r="D677" s="21"/>
      <c r="F677" s="21"/>
      <c r="G677" s="21"/>
      <c r="I677" s="21"/>
      <c r="K677" s="21"/>
      <c r="M677" s="21"/>
      <c r="O677" s="21"/>
      <c r="Q677" s="21"/>
      <c r="S677" s="21"/>
      <c r="U677" s="21"/>
      <c r="W677" s="21"/>
      <c r="Y677" s="21"/>
      <c r="AA677" s="21"/>
      <c r="AC677" s="21"/>
      <c r="AE677" s="21"/>
      <c r="AG677" s="21"/>
      <c r="AI677" s="21"/>
      <c r="AK677" s="21"/>
      <c r="AM677" s="21"/>
      <c r="AN677" s="21"/>
    </row>
    <row r="678">
      <c r="A678" s="21"/>
      <c r="B678" s="21"/>
      <c r="D678" s="21"/>
      <c r="F678" s="21"/>
      <c r="G678" s="21"/>
      <c r="I678" s="21"/>
      <c r="K678" s="21"/>
      <c r="M678" s="21"/>
      <c r="O678" s="21"/>
      <c r="Q678" s="21"/>
      <c r="S678" s="21"/>
      <c r="U678" s="21"/>
      <c r="W678" s="21"/>
      <c r="Y678" s="21"/>
      <c r="AA678" s="21"/>
      <c r="AC678" s="21"/>
      <c r="AE678" s="21"/>
      <c r="AG678" s="21"/>
      <c r="AI678" s="21"/>
      <c r="AK678" s="21"/>
      <c r="AM678" s="21"/>
      <c r="AN678" s="21"/>
    </row>
    <row r="679">
      <c r="A679" s="21"/>
      <c r="B679" s="21"/>
      <c r="D679" s="21"/>
      <c r="F679" s="21"/>
      <c r="G679" s="21"/>
      <c r="I679" s="21"/>
      <c r="K679" s="21"/>
      <c r="M679" s="21"/>
      <c r="O679" s="21"/>
      <c r="Q679" s="21"/>
      <c r="S679" s="21"/>
      <c r="U679" s="21"/>
      <c r="W679" s="21"/>
      <c r="Y679" s="21"/>
      <c r="AA679" s="21"/>
      <c r="AC679" s="21"/>
      <c r="AE679" s="21"/>
      <c r="AG679" s="21"/>
      <c r="AI679" s="21"/>
      <c r="AK679" s="21"/>
      <c r="AM679" s="21"/>
      <c r="AN679" s="21"/>
    </row>
    <row r="680">
      <c r="A680" s="21"/>
      <c r="B680" s="21"/>
      <c r="D680" s="21"/>
      <c r="F680" s="21"/>
      <c r="G680" s="21"/>
      <c r="I680" s="21"/>
      <c r="K680" s="21"/>
      <c r="M680" s="21"/>
      <c r="O680" s="21"/>
      <c r="Q680" s="21"/>
      <c r="S680" s="21"/>
      <c r="U680" s="21"/>
      <c r="W680" s="21"/>
      <c r="Y680" s="21"/>
      <c r="AA680" s="21"/>
      <c r="AC680" s="21"/>
      <c r="AE680" s="21"/>
      <c r="AG680" s="21"/>
      <c r="AI680" s="21"/>
      <c r="AK680" s="21"/>
      <c r="AM680" s="21"/>
      <c r="AN680" s="21"/>
    </row>
    <row r="681">
      <c r="A681" s="21"/>
      <c r="B681" s="21"/>
      <c r="D681" s="21"/>
      <c r="F681" s="21"/>
      <c r="G681" s="21"/>
      <c r="I681" s="21"/>
      <c r="K681" s="21"/>
      <c r="M681" s="21"/>
      <c r="O681" s="21"/>
      <c r="Q681" s="21"/>
      <c r="S681" s="21"/>
      <c r="U681" s="21"/>
      <c r="W681" s="21"/>
      <c r="Y681" s="21"/>
      <c r="AA681" s="21"/>
      <c r="AC681" s="21"/>
      <c r="AE681" s="21"/>
      <c r="AG681" s="21"/>
      <c r="AI681" s="21"/>
      <c r="AK681" s="21"/>
      <c r="AM681" s="21"/>
      <c r="AN681" s="21"/>
    </row>
    <row r="682">
      <c r="A682" s="21"/>
      <c r="B682" s="21"/>
      <c r="D682" s="21"/>
      <c r="F682" s="21"/>
      <c r="G682" s="21"/>
      <c r="I682" s="21"/>
      <c r="K682" s="21"/>
      <c r="M682" s="21"/>
      <c r="O682" s="21"/>
      <c r="Q682" s="21"/>
      <c r="S682" s="21"/>
      <c r="U682" s="21"/>
      <c r="W682" s="21"/>
      <c r="Y682" s="21"/>
      <c r="AA682" s="21"/>
      <c r="AC682" s="21"/>
      <c r="AE682" s="21"/>
      <c r="AG682" s="21"/>
      <c r="AI682" s="21"/>
      <c r="AK682" s="21"/>
      <c r="AM682" s="21"/>
      <c r="AN682" s="21"/>
    </row>
    <row r="683">
      <c r="A683" s="21"/>
      <c r="B683" s="21"/>
      <c r="D683" s="21"/>
      <c r="F683" s="21"/>
      <c r="G683" s="21"/>
      <c r="I683" s="21"/>
      <c r="K683" s="21"/>
      <c r="M683" s="21"/>
      <c r="O683" s="21"/>
      <c r="Q683" s="21"/>
      <c r="S683" s="21"/>
      <c r="U683" s="21"/>
      <c r="W683" s="21"/>
      <c r="Y683" s="21"/>
      <c r="AA683" s="21"/>
      <c r="AC683" s="21"/>
      <c r="AE683" s="21"/>
      <c r="AG683" s="21"/>
      <c r="AI683" s="21"/>
      <c r="AK683" s="21"/>
      <c r="AM683" s="21"/>
      <c r="AN683" s="21"/>
    </row>
    <row r="684">
      <c r="A684" s="21"/>
      <c r="B684" s="21"/>
      <c r="D684" s="21"/>
      <c r="F684" s="21"/>
      <c r="G684" s="21"/>
      <c r="I684" s="21"/>
      <c r="K684" s="21"/>
      <c r="M684" s="21"/>
      <c r="O684" s="21"/>
      <c r="Q684" s="21"/>
      <c r="S684" s="21"/>
      <c r="U684" s="21"/>
      <c r="W684" s="21"/>
      <c r="Y684" s="21"/>
      <c r="AA684" s="21"/>
      <c r="AC684" s="21"/>
      <c r="AE684" s="21"/>
      <c r="AG684" s="21"/>
      <c r="AI684" s="21"/>
      <c r="AK684" s="21"/>
      <c r="AM684" s="21"/>
      <c r="AN684" s="21"/>
    </row>
    <row r="685">
      <c r="A685" s="21"/>
      <c r="B685" s="21"/>
      <c r="D685" s="21"/>
      <c r="F685" s="21"/>
      <c r="G685" s="21"/>
      <c r="I685" s="21"/>
      <c r="K685" s="21"/>
      <c r="M685" s="21"/>
      <c r="O685" s="21"/>
      <c r="Q685" s="21"/>
      <c r="S685" s="21"/>
      <c r="U685" s="21"/>
      <c r="W685" s="21"/>
      <c r="Y685" s="21"/>
      <c r="AA685" s="21"/>
      <c r="AC685" s="21"/>
      <c r="AE685" s="21"/>
      <c r="AG685" s="21"/>
      <c r="AI685" s="21"/>
      <c r="AK685" s="21"/>
      <c r="AM685" s="21"/>
      <c r="AN685" s="21"/>
    </row>
    <row r="686">
      <c r="A686" s="21"/>
      <c r="B686" s="21"/>
      <c r="D686" s="21"/>
      <c r="F686" s="21"/>
      <c r="G686" s="21"/>
      <c r="I686" s="21"/>
      <c r="K686" s="21"/>
      <c r="M686" s="21"/>
      <c r="O686" s="21"/>
      <c r="Q686" s="21"/>
      <c r="S686" s="21"/>
      <c r="U686" s="21"/>
      <c r="W686" s="21"/>
      <c r="Y686" s="21"/>
      <c r="AA686" s="21"/>
      <c r="AC686" s="21"/>
      <c r="AE686" s="21"/>
      <c r="AG686" s="21"/>
      <c r="AI686" s="21"/>
      <c r="AK686" s="21"/>
      <c r="AM686" s="21"/>
      <c r="AN686" s="21"/>
    </row>
    <row r="687">
      <c r="A687" s="21"/>
      <c r="B687" s="21"/>
      <c r="D687" s="21"/>
      <c r="F687" s="21"/>
      <c r="G687" s="21"/>
      <c r="I687" s="21"/>
      <c r="K687" s="21"/>
      <c r="M687" s="21"/>
      <c r="O687" s="21"/>
      <c r="Q687" s="21"/>
      <c r="S687" s="21"/>
      <c r="U687" s="21"/>
      <c r="W687" s="21"/>
      <c r="Y687" s="21"/>
      <c r="AA687" s="21"/>
      <c r="AC687" s="21"/>
      <c r="AE687" s="21"/>
      <c r="AG687" s="21"/>
      <c r="AI687" s="21"/>
      <c r="AK687" s="21"/>
      <c r="AM687" s="21"/>
      <c r="AN687" s="21"/>
    </row>
    <row r="688">
      <c r="A688" s="21"/>
      <c r="B688" s="21"/>
      <c r="D688" s="21"/>
      <c r="F688" s="21"/>
      <c r="G688" s="21"/>
      <c r="I688" s="21"/>
      <c r="K688" s="21"/>
      <c r="M688" s="21"/>
      <c r="O688" s="21"/>
      <c r="Q688" s="21"/>
      <c r="S688" s="21"/>
      <c r="U688" s="21"/>
      <c r="W688" s="21"/>
      <c r="Y688" s="21"/>
      <c r="AA688" s="21"/>
      <c r="AC688" s="21"/>
      <c r="AE688" s="21"/>
      <c r="AG688" s="21"/>
      <c r="AI688" s="21"/>
      <c r="AK688" s="21"/>
      <c r="AM688" s="21"/>
      <c r="AN688" s="21"/>
    </row>
    <row r="689">
      <c r="A689" s="21"/>
      <c r="B689" s="21"/>
      <c r="D689" s="21"/>
      <c r="F689" s="21"/>
      <c r="G689" s="21"/>
      <c r="I689" s="21"/>
      <c r="K689" s="21"/>
      <c r="M689" s="21"/>
      <c r="O689" s="21"/>
      <c r="Q689" s="21"/>
      <c r="S689" s="21"/>
      <c r="U689" s="21"/>
      <c r="W689" s="21"/>
      <c r="Y689" s="21"/>
      <c r="AA689" s="21"/>
      <c r="AC689" s="21"/>
      <c r="AE689" s="21"/>
      <c r="AG689" s="21"/>
      <c r="AI689" s="21"/>
      <c r="AK689" s="21"/>
      <c r="AM689" s="21"/>
      <c r="AN689" s="21"/>
    </row>
    <row r="690">
      <c r="A690" s="21"/>
      <c r="B690" s="21"/>
      <c r="D690" s="21"/>
      <c r="F690" s="21"/>
      <c r="G690" s="21"/>
      <c r="I690" s="21"/>
      <c r="K690" s="21"/>
      <c r="M690" s="21"/>
      <c r="O690" s="21"/>
      <c r="Q690" s="21"/>
      <c r="S690" s="21"/>
      <c r="U690" s="21"/>
      <c r="W690" s="21"/>
      <c r="Y690" s="21"/>
      <c r="AA690" s="21"/>
      <c r="AC690" s="21"/>
      <c r="AE690" s="21"/>
      <c r="AG690" s="21"/>
      <c r="AI690" s="21"/>
      <c r="AK690" s="21"/>
      <c r="AM690" s="21"/>
      <c r="AN690" s="21"/>
    </row>
    <row r="691">
      <c r="A691" s="21"/>
      <c r="B691" s="21"/>
      <c r="D691" s="21"/>
      <c r="F691" s="21"/>
      <c r="G691" s="21"/>
      <c r="I691" s="21"/>
      <c r="K691" s="21"/>
      <c r="M691" s="21"/>
      <c r="O691" s="21"/>
      <c r="Q691" s="21"/>
      <c r="S691" s="21"/>
      <c r="U691" s="21"/>
      <c r="W691" s="21"/>
      <c r="Y691" s="21"/>
      <c r="AA691" s="21"/>
      <c r="AC691" s="21"/>
      <c r="AE691" s="21"/>
      <c r="AG691" s="21"/>
      <c r="AI691" s="21"/>
      <c r="AK691" s="21"/>
      <c r="AM691" s="21"/>
      <c r="AN691" s="21"/>
    </row>
    <row r="692">
      <c r="A692" s="21"/>
      <c r="B692" s="21"/>
      <c r="D692" s="21"/>
      <c r="F692" s="21"/>
      <c r="G692" s="21"/>
      <c r="I692" s="21"/>
      <c r="K692" s="21"/>
      <c r="M692" s="21"/>
      <c r="O692" s="21"/>
      <c r="Q692" s="21"/>
      <c r="S692" s="21"/>
      <c r="U692" s="21"/>
      <c r="W692" s="21"/>
      <c r="Y692" s="21"/>
      <c r="AA692" s="21"/>
      <c r="AC692" s="21"/>
      <c r="AE692" s="21"/>
      <c r="AG692" s="21"/>
      <c r="AI692" s="21"/>
      <c r="AK692" s="21"/>
      <c r="AM692" s="21"/>
      <c r="AN692" s="21"/>
    </row>
    <row r="693">
      <c r="A693" s="21"/>
      <c r="B693" s="21"/>
      <c r="D693" s="21"/>
      <c r="F693" s="21"/>
      <c r="G693" s="21"/>
      <c r="I693" s="21"/>
      <c r="K693" s="21"/>
      <c r="M693" s="21"/>
      <c r="O693" s="21"/>
      <c r="Q693" s="21"/>
      <c r="S693" s="21"/>
      <c r="U693" s="21"/>
      <c r="W693" s="21"/>
      <c r="Y693" s="21"/>
      <c r="AA693" s="21"/>
      <c r="AC693" s="21"/>
      <c r="AE693" s="21"/>
      <c r="AG693" s="21"/>
      <c r="AI693" s="21"/>
      <c r="AK693" s="21"/>
      <c r="AM693" s="21"/>
      <c r="AN693" s="21"/>
    </row>
    <row r="694">
      <c r="A694" s="21"/>
      <c r="B694" s="21"/>
      <c r="D694" s="21"/>
      <c r="F694" s="21"/>
      <c r="G694" s="21"/>
      <c r="I694" s="21"/>
      <c r="K694" s="21"/>
      <c r="M694" s="21"/>
      <c r="O694" s="21"/>
      <c r="Q694" s="21"/>
      <c r="S694" s="21"/>
      <c r="U694" s="21"/>
      <c r="W694" s="21"/>
      <c r="Y694" s="21"/>
      <c r="AA694" s="21"/>
      <c r="AC694" s="21"/>
      <c r="AE694" s="21"/>
      <c r="AG694" s="21"/>
      <c r="AI694" s="21"/>
      <c r="AK694" s="21"/>
      <c r="AM694" s="21"/>
      <c r="AN694" s="21"/>
    </row>
    <row r="695">
      <c r="A695" s="21"/>
      <c r="B695" s="21"/>
      <c r="D695" s="21"/>
      <c r="F695" s="21"/>
      <c r="G695" s="21"/>
      <c r="I695" s="21"/>
      <c r="K695" s="21"/>
      <c r="M695" s="21"/>
      <c r="O695" s="21"/>
      <c r="Q695" s="21"/>
      <c r="S695" s="21"/>
      <c r="U695" s="21"/>
      <c r="W695" s="21"/>
      <c r="Y695" s="21"/>
      <c r="AA695" s="21"/>
      <c r="AC695" s="21"/>
      <c r="AE695" s="21"/>
      <c r="AG695" s="21"/>
      <c r="AI695" s="21"/>
      <c r="AK695" s="21"/>
      <c r="AM695" s="21"/>
      <c r="AN695" s="21"/>
    </row>
    <row r="696">
      <c r="A696" s="21"/>
      <c r="B696" s="21"/>
      <c r="D696" s="21"/>
      <c r="F696" s="21"/>
      <c r="G696" s="21"/>
      <c r="I696" s="21"/>
      <c r="K696" s="21"/>
      <c r="M696" s="21"/>
      <c r="O696" s="21"/>
      <c r="Q696" s="21"/>
      <c r="S696" s="21"/>
      <c r="U696" s="21"/>
      <c r="W696" s="21"/>
      <c r="Y696" s="21"/>
      <c r="AA696" s="21"/>
      <c r="AC696" s="21"/>
      <c r="AE696" s="21"/>
      <c r="AG696" s="21"/>
      <c r="AI696" s="21"/>
      <c r="AK696" s="21"/>
      <c r="AM696" s="21"/>
      <c r="AN696" s="21"/>
    </row>
    <row r="697">
      <c r="A697" s="21"/>
      <c r="B697" s="21"/>
      <c r="D697" s="21"/>
      <c r="F697" s="21"/>
      <c r="G697" s="21"/>
      <c r="I697" s="21"/>
      <c r="K697" s="21"/>
      <c r="M697" s="21"/>
      <c r="O697" s="21"/>
      <c r="Q697" s="21"/>
      <c r="S697" s="21"/>
      <c r="U697" s="21"/>
      <c r="W697" s="21"/>
      <c r="Y697" s="21"/>
      <c r="AA697" s="21"/>
      <c r="AC697" s="21"/>
      <c r="AE697" s="21"/>
      <c r="AG697" s="21"/>
      <c r="AI697" s="21"/>
      <c r="AK697" s="21"/>
      <c r="AM697" s="21"/>
      <c r="AN697" s="21"/>
    </row>
    <row r="698">
      <c r="A698" s="21"/>
      <c r="B698" s="21"/>
      <c r="D698" s="21"/>
      <c r="F698" s="21"/>
      <c r="G698" s="21"/>
      <c r="I698" s="21"/>
      <c r="K698" s="21"/>
      <c r="M698" s="21"/>
      <c r="O698" s="21"/>
      <c r="Q698" s="21"/>
      <c r="S698" s="21"/>
      <c r="U698" s="21"/>
      <c r="W698" s="21"/>
      <c r="Y698" s="21"/>
      <c r="AA698" s="21"/>
      <c r="AC698" s="21"/>
      <c r="AE698" s="21"/>
      <c r="AG698" s="21"/>
      <c r="AI698" s="21"/>
      <c r="AK698" s="21"/>
      <c r="AM698" s="21"/>
      <c r="AN698" s="21"/>
    </row>
    <row r="699">
      <c r="A699" s="21"/>
      <c r="B699" s="21"/>
      <c r="D699" s="21"/>
      <c r="F699" s="21"/>
      <c r="G699" s="21"/>
      <c r="I699" s="21"/>
      <c r="K699" s="21"/>
      <c r="M699" s="21"/>
      <c r="O699" s="21"/>
      <c r="Q699" s="21"/>
      <c r="S699" s="21"/>
      <c r="U699" s="21"/>
      <c r="W699" s="21"/>
      <c r="Y699" s="21"/>
      <c r="AA699" s="21"/>
      <c r="AC699" s="21"/>
      <c r="AE699" s="21"/>
      <c r="AG699" s="21"/>
      <c r="AI699" s="21"/>
      <c r="AK699" s="21"/>
      <c r="AM699" s="21"/>
      <c r="AN699" s="21"/>
    </row>
    <row r="700">
      <c r="A700" s="21"/>
      <c r="B700" s="21"/>
      <c r="D700" s="21"/>
      <c r="F700" s="21"/>
      <c r="G700" s="21"/>
      <c r="I700" s="21"/>
      <c r="K700" s="21"/>
      <c r="M700" s="21"/>
      <c r="O700" s="21"/>
      <c r="Q700" s="21"/>
      <c r="S700" s="21"/>
      <c r="U700" s="21"/>
      <c r="W700" s="21"/>
      <c r="Y700" s="21"/>
      <c r="AA700" s="21"/>
      <c r="AC700" s="21"/>
      <c r="AE700" s="21"/>
      <c r="AG700" s="21"/>
      <c r="AI700" s="21"/>
      <c r="AK700" s="21"/>
      <c r="AM700" s="21"/>
      <c r="AN700" s="21"/>
    </row>
    <row r="701">
      <c r="A701" s="21"/>
      <c r="B701" s="21"/>
      <c r="D701" s="21"/>
      <c r="F701" s="21"/>
      <c r="G701" s="21"/>
      <c r="I701" s="21"/>
      <c r="K701" s="21"/>
      <c r="M701" s="21"/>
      <c r="O701" s="21"/>
      <c r="Q701" s="21"/>
      <c r="S701" s="21"/>
      <c r="U701" s="21"/>
      <c r="W701" s="21"/>
      <c r="Y701" s="21"/>
      <c r="AA701" s="21"/>
      <c r="AC701" s="21"/>
      <c r="AE701" s="21"/>
      <c r="AG701" s="21"/>
      <c r="AI701" s="21"/>
      <c r="AK701" s="21"/>
      <c r="AM701" s="21"/>
      <c r="AN701" s="21"/>
    </row>
    <row r="702">
      <c r="A702" s="21"/>
      <c r="B702" s="21"/>
      <c r="D702" s="21"/>
      <c r="F702" s="21"/>
      <c r="G702" s="21"/>
      <c r="I702" s="21"/>
      <c r="K702" s="21"/>
      <c r="M702" s="21"/>
      <c r="O702" s="21"/>
      <c r="Q702" s="21"/>
      <c r="S702" s="21"/>
      <c r="U702" s="21"/>
      <c r="W702" s="21"/>
      <c r="Y702" s="21"/>
      <c r="AA702" s="21"/>
      <c r="AC702" s="21"/>
      <c r="AE702" s="21"/>
      <c r="AG702" s="21"/>
      <c r="AI702" s="21"/>
      <c r="AK702" s="21"/>
      <c r="AM702" s="21"/>
      <c r="AN702" s="21"/>
    </row>
    <row r="703">
      <c r="A703" s="21"/>
      <c r="B703" s="21"/>
      <c r="D703" s="21"/>
      <c r="F703" s="21"/>
      <c r="G703" s="21"/>
      <c r="I703" s="21"/>
      <c r="K703" s="21"/>
      <c r="M703" s="21"/>
      <c r="O703" s="21"/>
      <c r="Q703" s="21"/>
      <c r="S703" s="21"/>
      <c r="U703" s="21"/>
      <c r="W703" s="21"/>
      <c r="Y703" s="21"/>
      <c r="AA703" s="21"/>
      <c r="AC703" s="21"/>
      <c r="AE703" s="21"/>
      <c r="AG703" s="21"/>
      <c r="AI703" s="21"/>
      <c r="AK703" s="21"/>
      <c r="AM703" s="21"/>
      <c r="AN703" s="21"/>
    </row>
    <row r="704">
      <c r="A704" s="21"/>
      <c r="B704" s="21"/>
      <c r="D704" s="21"/>
      <c r="F704" s="21"/>
      <c r="G704" s="21"/>
      <c r="I704" s="21"/>
      <c r="K704" s="21"/>
      <c r="M704" s="21"/>
      <c r="O704" s="21"/>
      <c r="Q704" s="21"/>
      <c r="S704" s="21"/>
      <c r="U704" s="21"/>
      <c r="W704" s="21"/>
      <c r="Y704" s="21"/>
      <c r="AA704" s="21"/>
      <c r="AC704" s="21"/>
      <c r="AE704" s="21"/>
      <c r="AG704" s="21"/>
      <c r="AI704" s="21"/>
      <c r="AK704" s="21"/>
      <c r="AM704" s="21"/>
      <c r="AN704" s="21"/>
    </row>
    <row r="705">
      <c r="A705" s="21"/>
      <c r="B705" s="21"/>
      <c r="D705" s="21"/>
      <c r="F705" s="21"/>
      <c r="G705" s="21"/>
      <c r="I705" s="21"/>
      <c r="K705" s="21"/>
      <c r="M705" s="21"/>
      <c r="O705" s="21"/>
      <c r="Q705" s="21"/>
      <c r="S705" s="21"/>
      <c r="U705" s="21"/>
      <c r="W705" s="21"/>
      <c r="Y705" s="21"/>
      <c r="AA705" s="21"/>
      <c r="AC705" s="21"/>
      <c r="AE705" s="21"/>
      <c r="AG705" s="21"/>
      <c r="AI705" s="21"/>
      <c r="AK705" s="21"/>
      <c r="AM705" s="21"/>
      <c r="AN705" s="21"/>
    </row>
    <row r="706">
      <c r="A706" s="21"/>
      <c r="B706" s="21"/>
      <c r="D706" s="21"/>
      <c r="F706" s="21"/>
      <c r="G706" s="21"/>
      <c r="I706" s="21"/>
      <c r="K706" s="21"/>
      <c r="M706" s="21"/>
      <c r="O706" s="21"/>
      <c r="Q706" s="21"/>
      <c r="S706" s="21"/>
      <c r="U706" s="21"/>
      <c r="W706" s="21"/>
      <c r="Y706" s="21"/>
      <c r="AA706" s="21"/>
      <c r="AC706" s="21"/>
      <c r="AE706" s="21"/>
      <c r="AG706" s="21"/>
      <c r="AI706" s="21"/>
      <c r="AK706" s="21"/>
      <c r="AM706" s="21"/>
      <c r="AN706" s="21"/>
    </row>
    <row r="707">
      <c r="A707" s="21"/>
      <c r="B707" s="21"/>
      <c r="D707" s="21"/>
      <c r="F707" s="21"/>
      <c r="G707" s="21"/>
      <c r="I707" s="21"/>
      <c r="K707" s="21"/>
      <c r="M707" s="21"/>
      <c r="O707" s="21"/>
      <c r="Q707" s="21"/>
      <c r="S707" s="21"/>
      <c r="U707" s="21"/>
      <c r="W707" s="21"/>
      <c r="Y707" s="21"/>
      <c r="AA707" s="21"/>
      <c r="AC707" s="21"/>
      <c r="AE707" s="21"/>
      <c r="AG707" s="21"/>
      <c r="AI707" s="21"/>
      <c r="AK707" s="21"/>
      <c r="AM707" s="21"/>
      <c r="AN707" s="21"/>
    </row>
    <row r="708">
      <c r="A708" s="21"/>
      <c r="B708" s="21"/>
      <c r="D708" s="21"/>
      <c r="F708" s="21"/>
      <c r="G708" s="21"/>
      <c r="I708" s="21"/>
      <c r="K708" s="21"/>
      <c r="M708" s="21"/>
      <c r="O708" s="21"/>
      <c r="Q708" s="21"/>
      <c r="S708" s="21"/>
      <c r="U708" s="21"/>
      <c r="W708" s="21"/>
      <c r="Y708" s="21"/>
      <c r="AA708" s="21"/>
      <c r="AC708" s="21"/>
      <c r="AE708" s="21"/>
      <c r="AG708" s="21"/>
      <c r="AI708" s="21"/>
      <c r="AK708" s="21"/>
      <c r="AM708" s="21"/>
      <c r="AN708" s="21"/>
    </row>
    <row r="709">
      <c r="A709" s="21"/>
      <c r="B709" s="21"/>
      <c r="D709" s="21"/>
      <c r="F709" s="21"/>
      <c r="G709" s="21"/>
      <c r="I709" s="21"/>
      <c r="K709" s="21"/>
      <c r="M709" s="21"/>
      <c r="O709" s="21"/>
      <c r="Q709" s="21"/>
      <c r="S709" s="21"/>
      <c r="U709" s="21"/>
      <c r="W709" s="21"/>
      <c r="Y709" s="21"/>
      <c r="AA709" s="21"/>
      <c r="AC709" s="21"/>
      <c r="AE709" s="21"/>
      <c r="AG709" s="21"/>
      <c r="AI709" s="21"/>
      <c r="AK709" s="21"/>
      <c r="AM709" s="21"/>
      <c r="AN709" s="21"/>
    </row>
    <row r="710">
      <c r="A710" s="21"/>
      <c r="B710" s="21"/>
      <c r="D710" s="21"/>
      <c r="F710" s="21"/>
      <c r="G710" s="21"/>
      <c r="I710" s="21"/>
      <c r="K710" s="21"/>
      <c r="M710" s="21"/>
      <c r="O710" s="21"/>
      <c r="Q710" s="21"/>
      <c r="S710" s="21"/>
      <c r="U710" s="21"/>
      <c r="W710" s="21"/>
      <c r="Y710" s="21"/>
      <c r="AA710" s="21"/>
      <c r="AC710" s="21"/>
      <c r="AE710" s="21"/>
      <c r="AG710" s="21"/>
      <c r="AI710" s="21"/>
      <c r="AK710" s="21"/>
      <c r="AM710" s="21"/>
      <c r="AN710" s="21"/>
    </row>
    <row r="711">
      <c r="A711" s="21"/>
      <c r="B711" s="21"/>
      <c r="D711" s="21"/>
      <c r="F711" s="21"/>
      <c r="G711" s="21"/>
      <c r="I711" s="21"/>
      <c r="K711" s="21"/>
      <c r="M711" s="21"/>
      <c r="O711" s="21"/>
      <c r="Q711" s="21"/>
      <c r="S711" s="21"/>
      <c r="U711" s="21"/>
      <c r="W711" s="21"/>
      <c r="Y711" s="21"/>
      <c r="AA711" s="21"/>
      <c r="AC711" s="21"/>
      <c r="AE711" s="21"/>
      <c r="AG711" s="21"/>
      <c r="AI711" s="21"/>
      <c r="AK711" s="21"/>
      <c r="AM711" s="21"/>
      <c r="AN711" s="21"/>
    </row>
    <row r="712">
      <c r="A712" s="21"/>
      <c r="B712" s="21"/>
      <c r="D712" s="21"/>
      <c r="F712" s="21"/>
      <c r="G712" s="21"/>
      <c r="I712" s="21"/>
      <c r="K712" s="21"/>
      <c r="M712" s="21"/>
      <c r="O712" s="21"/>
      <c r="Q712" s="21"/>
      <c r="S712" s="21"/>
      <c r="U712" s="21"/>
      <c r="W712" s="21"/>
      <c r="Y712" s="21"/>
      <c r="AA712" s="21"/>
      <c r="AC712" s="21"/>
      <c r="AE712" s="21"/>
      <c r="AG712" s="21"/>
      <c r="AI712" s="21"/>
      <c r="AK712" s="21"/>
      <c r="AM712" s="21"/>
      <c r="AN712" s="21"/>
    </row>
    <row r="713">
      <c r="A713" s="21"/>
      <c r="B713" s="21"/>
      <c r="D713" s="21"/>
      <c r="F713" s="21"/>
      <c r="G713" s="21"/>
      <c r="I713" s="21"/>
      <c r="K713" s="21"/>
      <c r="M713" s="21"/>
      <c r="O713" s="21"/>
      <c r="Q713" s="21"/>
      <c r="S713" s="21"/>
      <c r="U713" s="21"/>
      <c r="W713" s="21"/>
      <c r="Y713" s="21"/>
      <c r="AA713" s="21"/>
      <c r="AC713" s="21"/>
      <c r="AE713" s="21"/>
      <c r="AG713" s="21"/>
      <c r="AI713" s="21"/>
      <c r="AK713" s="21"/>
      <c r="AM713" s="21"/>
      <c r="AN713" s="21"/>
    </row>
    <row r="714">
      <c r="A714" s="21"/>
      <c r="B714" s="21"/>
      <c r="D714" s="21"/>
      <c r="F714" s="21"/>
      <c r="G714" s="21"/>
      <c r="I714" s="21"/>
      <c r="K714" s="21"/>
      <c r="M714" s="21"/>
      <c r="O714" s="21"/>
      <c r="Q714" s="21"/>
      <c r="S714" s="21"/>
      <c r="U714" s="21"/>
      <c r="W714" s="21"/>
      <c r="Y714" s="21"/>
      <c r="AA714" s="21"/>
      <c r="AC714" s="21"/>
      <c r="AE714" s="21"/>
      <c r="AG714" s="21"/>
      <c r="AI714" s="21"/>
      <c r="AK714" s="21"/>
      <c r="AM714" s="21"/>
      <c r="AN714" s="21"/>
    </row>
    <row r="715">
      <c r="A715" s="21"/>
      <c r="B715" s="21"/>
      <c r="D715" s="21"/>
      <c r="F715" s="21"/>
      <c r="G715" s="21"/>
      <c r="I715" s="21"/>
      <c r="K715" s="21"/>
      <c r="M715" s="21"/>
      <c r="O715" s="21"/>
      <c r="Q715" s="21"/>
      <c r="S715" s="21"/>
      <c r="U715" s="21"/>
      <c r="W715" s="21"/>
      <c r="Y715" s="21"/>
      <c r="AA715" s="21"/>
      <c r="AC715" s="21"/>
      <c r="AE715" s="21"/>
      <c r="AG715" s="21"/>
      <c r="AI715" s="21"/>
      <c r="AK715" s="21"/>
      <c r="AM715" s="21"/>
      <c r="AN715" s="21"/>
    </row>
    <row r="716">
      <c r="A716" s="21"/>
      <c r="B716" s="21"/>
      <c r="D716" s="21"/>
      <c r="F716" s="21"/>
      <c r="G716" s="21"/>
      <c r="I716" s="21"/>
      <c r="K716" s="21"/>
      <c r="M716" s="21"/>
      <c r="O716" s="21"/>
      <c r="Q716" s="21"/>
      <c r="S716" s="21"/>
      <c r="U716" s="21"/>
      <c r="W716" s="21"/>
      <c r="Y716" s="21"/>
      <c r="AA716" s="21"/>
      <c r="AC716" s="21"/>
      <c r="AE716" s="21"/>
      <c r="AG716" s="21"/>
      <c r="AI716" s="21"/>
      <c r="AK716" s="21"/>
      <c r="AM716" s="21"/>
      <c r="AN716" s="21"/>
    </row>
    <row r="717">
      <c r="A717" s="21"/>
      <c r="B717" s="21"/>
      <c r="D717" s="21"/>
      <c r="F717" s="21"/>
      <c r="G717" s="21"/>
      <c r="I717" s="21"/>
      <c r="K717" s="21"/>
      <c r="M717" s="21"/>
      <c r="O717" s="21"/>
      <c r="Q717" s="21"/>
      <c r="S717" s="21"/>
      <c r="U717" s="21"/>
      <c r="W717" s="21"/>
      <c r="Y717" s="21"/>
      <c r="AA717" s="21"/>
      <c r="AC717" s="21"/>
      <c r="AE717" s="21"/>
      <c r="AG717" s="21"/>
      <c r="AI717" s="21"/>
      <c r="AK717" s="21"/>
      <c r="AM717" s="21"/>
      <c r="AN717" s="21"/>
    </row>
    <row r="718">
      <c r="A718" s="21"/>
      <c r="B718" s="21"/>
      <c r="D718" s="21"/>
      <c r="F718" s="21"/>
      <c r="G718" s="21"/>
      <c r="I718" s="21"/>
      <c r="K718" s="21"/>
      <c r="M718" s="21"/>
      <c r="O718" s="21"/>
      <c r="Q718" s="21"/>
      <c r="S718" s="21"/>
      <c r="U718" s="21"/>
      <c r="W718" s="21"/>
      <c r="Y718" s="21"/>
      <c r="AA718" s="21"/>
      <c r="AC718" s="21"/>
      <c r="AE718" s="21"/>
      <c r="AG718" s="21"/>
      <c r="AI718" s="21"/>
      <c r="AK718" s="21"/>
      <c r="AM718" s="21"/>
      <c r="AN718" s="21"/>
    </row>
    <row r="719">
      <c r="A719" s="21"/>
      <c r="B719" s="21"/>
      <c r="D719" s="21"/>
      <c r="F719" s="21"/>
      <c r="G719" s="21"/>
      <c r="I719" s="21"/>
      <c r="K719" s="21"/>
      <c r="M719" s="21"/>
      <c r="O719" s="21"/>
      <c r="Q719" s="21"/>
      <c r="S719" s="21"/>
      <c r="U719" s="21"/>
      <c r="W719" s="21"/>
      <c r="Y719" s="21"/>
      <c r="AA719" s="21"/>
      <c r="AC719" s="21"/>
      <c r="AE719" s="21"/>
      <c r="AG719" s="21"/>
      <c r="AI719" s="21"/>
      <c r="AK719" s="21"/>
      <c r="AM719" s="21"/>
      <c r="AN719" s="21"/>
    </row>
    <row r="720">
      <c r="A720" s="21"/>
      <c r="B720" s="21"/>
      <c r="D720" s="21"/>
      <c r="F720" s="21"/>
      <c r="G720" s="21"/>
      <c r="I720" s="21"/>
      <c r="K720" s="21"/>
      <c r="M720" s="21"/>
      <c r="O720" s="21"/>
      <c r="Q720" s="21"/>
      <c r="S720" s="21"/>
      <c r="U720" s="21"/>
      <c r="W720" s="21"/>
      <c r="Y720" s="21"/>
      <c r="AA720" s="21"/>
      <c r="AC720" s="21"/>
      <c r="AE720" s="21"/>
      <c r="AG720" s="21"/>
      <c r="AI720" s="21"/>
      <c r="AK720" s="21"/>
      <c r="AM720" s="21"/>
      <c r="AN720" s="21"/>
    </row>
    <row r="721">
      <c r="A721" s="21"/>
      <c r="B721" s="21"/>
      <c r="D721" s="21"/>
      <c r="F721" s="21"/>
      <c r="G721" s="21"/>
      <c r="I721" s="21"/>
      <c r="K721" s="21"/>
      <c r="M721" s="21"/>
      <c r="O721" s="21"/>
      <c r="Q721" s="21"/>
      <c r="S721" s="21"/>
      <c r="U721" s="21"/>
      <c r="W721" s="21"/>
      <c r="Y721" s="21"/>
      <c r="AA721" s="21"/>
      <c r="AC721" s="21"/>
      <c r="AE721" s="21"/>
      <c r="AG721" s="21"/>
      <c r="AI721" s="21"/>
      <c r="AK721" s="21"/>
      <c r="AM721" s="21"/>
      <c r="AN721" s="21"/>
    </row>
    <row r="722">
      <c r="A722" s="21"/>
      <c r="B722" s="21"/>
      <c r="D722" s="21"/>
      <c r="F722" s="21"/>
      <c r="G722" s="21"/>
      <c r="I722" s="21"/>
      <c r="K722" s="21"/>
      <c r="M722" s="21"/>
      <c r="O722" s="21"/>
      <c r="Q722" s="21"/>
      <c r="S722" s="21"/>
      <c r="U722" s="21"/>
      <c r="W722" s="21"/>
      <c r="Y722" s="21"/>
      <c r="AA722" s="21"/>
      <c r="AC722" s="21"/>
      <c r="AE722" s="21"/>
      <c r="AG722" s="21"/>
      <c r="AI722" s="21"/>
      <c r="AK722" s="21"/>
      <c r="AM722" s="21"/>
      <c r="AN722" s="21"/>
    </row>
    <row r="723">
      <c r="A723" s="21"/>
      <c r="B723" s="21"/>
      <c r="D723" s="21"/>
      <c r="F723" s="21"/>
      <c r="G723" s="21"/>
      <c r="I723" s="21"/>
      <c r="K723" s="21"/>
      <c r="M723" s="21"/>
      <c r="O723" s="21"/>
      <c r="Q723" s="21"/>
      <c r="S723" s="21"/>
      <c r="U723" s="21"/>
      <c r="W723" s="21"/>
      <c r="Y723" s="21"/>
      <c r="AA723" s="21"/>
      <c r="AC723" s="21"/>
      <c r="AE723" s="21"/>
      <c r="AG723" s="21"/>
      <c r="AI723" s="21"/>
      <c r="AK723" s="21"/>
      <c r="AM723" s="21"/>
      <c r="AN723" s="21"/>
    </row>
    <row r="724">
      <c r="A724" s="21"/>
      <c r="B724" s="21"/>
      <c r="D724" s="21"/>
      <c r="F724" s="21"/>
      <c r="G724" s="21"/>
      <c r="I724" s="21"/>
      <c r="K724" s="21"/>
      <c r="M724" s="21"/>
      <c r="O724" s="21"/>
      <c r="Q724" s="21"/>
      <c r="S724" s="21"/>
      <c r="U724" s="21"/>
      <c r="W724" s="21"/>
      <c r="Y724" s="21"/>
      <c r="AA724" s="21"/>
      <c r="AC724" s="21"/>
      <c r="AE724" s="21"/>
      <c r="AG724" s="21"/>
      <c r="AI724" s="21"/>
      <c r="AK724" s="21"/>
      <c r="AM724" s="21"/>
      <c r="AN724" s="21"/>
    </row>
    <row r="725">
      <c r="A725" s="21"/>
      <c r="B725" s="21"/>
      <c r="D725" s="21"/>
      <c r="F725" s="21"/>
      <c r="G725" s="21"/>
      <c r="I725" s="21"/>
      <c r="K725" s="21"/>
      <c r="M725" s="21"/>
      <c r="O725" s="21"/>
      <c r="Q725" s="21"/>
      <c r="S725" s="21"/>
      <c r="U725" s="21"/>
      <c r="W725" s="21"/>
      <c r="Y725" s="21"/>
      <c r="AA725" s="21"/>
      <c r="AC725" s="21"/>
      <c r="AE725" s="21"/>
      <c r="AG725" s="21"/>
      <c r="AI725" s="21"/>
      <c r="AK725" s="21"/>
      <c r="AM725" s="21"/>
      <c r="AN725" s="21"/>
    </row>
    <row r="726">
      <c r="A726" s="21"/>
      <c r="B726" s="21"/>
      <c r="D726" s="21"/>
      <c r="F726" s="21"/>
      <c r="G726" s="21"/>
      <c r="I726" s="21"/>
      <c r="K726" s="21"/>
      <c r="M726" s="21"/>
      <c r="O726" s="21"/>
      <c r="Q726" s="21"/>
      <c r="S726" s="21"/>
      <c r="U726" s="21"/>
      <c r="W726" s="21"/>
      <c r="Y726" s="21"/>
      <c r="AA726" s="21"/>
      <c r="AC726" s="21"/>
      <c r="AE726" s="21"/>
      <c r="AG726" s="21"/>
      <c r="AI726" s="21"/>
      <c r="AK726" s="21"/>
      <c r="AM726" s="21"/>
      <c r="AN726" s="21"/>
    </row>
    <row r="727">
      <c r="A727" s="21"/>
      <c r="B727" s="21"/>
      <c r="D727" s="21"/>
      <c r="F727" s="21"/>
      <c r="G727" s="21"/>
      <c r="I727" s="21"/>
      <c r="K727" s="21"/>
      <c r="M727" s="21"/>
      <c r="O727" s="21"/>
      <c r="Q727" s="21"/>
      <c r="S727" s="21"/>
      <c r="U727" s="21"/>
      <c r="W727" s="21"/>
      <c r="Y727" s="21"/>
      <c r="AA727" s="21"/>
      <c r="AC727" s="21"/>
      <c r="AE727" s="21"/>
      <c r="AG727" s="21"/>
      <c r="AI727" s="21"/>
      <c r="AK727" s="21"/>
      <c r="AM727" s="21"/>
      <c r="AN727" s="21"/>
    </row>
    <row r="728">
      <c r="A728" s="21"/>
      <c r="B728" s="21"/>
      <c r="D728" s="21"/>
      <c r="F728" s="21"/>
      <c r="G728" s="21"/>
      <c r="I728" s="21"/>
      <c r="K728" s="21"/>
      <c r="M728" s="21"/>
      <c r="O728" s="21"/>
      <c r="Q728" s="21"/>
      <c r="S728" s="21"/>
      <c r="U728" s="21"/>
      <c r="W728" s="21"/>
      <c r="Y728" s="21"/>
      <c r="AA728" s="21"/>
      <c r="AC728" s="21"/>
      <c r="AE728" s="21"/>
      <c r="AG728" s="21"/>
      <c r="AI728" s="21"/>
      <c r="AK728" s="21"/>
      <c r="AM728" s="21"/>
      <c r="AN728" s="21"/>
    </row>
    <row r="729">
      <c r="A729" s="21"/>
      <c r="B729" s="21"/>
      <c r="D729" s="21"/>
      <c r="F729" s="21"/>
      <c r="G729" s="21"/>
      <c r="I729" s="21"/>
      <c r="K729" s="21"/>
      <c r="M729" s="21"/>
      <c r="O729" s="21"/>
      <c r="Q729" s="21"/>
      <c r="S729" s="21"/>
      <c r="U729" s="21"/>
      <c r="W729" s="21"/>
      <c r="Y729" s="21"/>
      <c r="AA729" s="21"/>
      <c r="AC729" s="21"/>
      <c r="AE729" s="21"/>
      <c r="AG729" s="21"/>
      <c r="AI729" s="21"/>
      <c r="AK729" s="21"/>
      <c r="AM729" s="21"/>
      <c r="AN729" s="21"/>
    </row>
    <row r="730">
      <c r="A730" s="21"/>
      <c r="B730" s="21"/>
      <c r="D730" s="21"/>
      <c r="F730" s="21"/>
      <c r="G730" s="21"/>
      <c r="I730" s="21"/>
      <c r="K730" s="21"/>
      <c r="M730" s="21"/>
      <c r="O730" s="21"/>
      <c r="Q730" s="21"/>
      <c r="S730" s="21"/>
      <c r="U730" s="21"/>
      <c r="W730" s="21"/>
      <c r="Y730" s="21"/>
      <c r="AA730" s="21"/>
      <c r="AC730" s="21"/>
      <c r="AE730" s="21"/>
      <c r="AG730" s="21"/>
      <c r="AI730" s="21"/>
      <c r="AK730" s="21"/>
      <c r="AM730" s="21"/>
      <c r="AN730" s="21"/>
    </row>
    <row r="731">
      <c r="A731" s="21"/>
      <c r="B731" s="21"/>
      <c r="D731" s="21"/>
      <c r="F731" s="21"/>
      <c r="G731" s="21"/>
      <c r="I731" s="21"/>
      <c r="K731" s="21"/>
      <c r="M731" s="21"/>
      <c r="O731" s="21"/>
      <c r="Q731" s="21"/>
      <c r="S731" s="21"/>
      <c r="U731" s="21"/>
      <c r="W731" s="21"/>
      <c r="Y731" s="21"/>
      <c r="AA731" s="21"/>
      <c r="AC731" s="21"/>
      <c r="AE731" s="21"/>
      <c r="AG731" s="21"/>
      <c r="AI731" s="21"/>
      <c r="AK731" s="21"/>
      <c r="AM731" s="21"/>
      <c r="AN731" s="21"/>
    </row>
    <row r="732">
      <c r="A732" s="21"/>
      <c r="B732" s="21"/>
      <c r="D732" s="21"/>
      <c r="F732" s="21"/>
      <c r="G732" s="21"/>
      <c r="I732" s="21"/>
      <c r="K732" s="21"/>
      <c r="M732" s="21"/>
      <c r="O732" s="21"/>
      <c r="Q732" s="21"/>
      <c r="S732" s="21"/>
      <c r="U732" s="21"/>
      <c r="W732" s="21"/>
      <c r="Y732" s="21"/>
      <c r="AA732" s="21"/>
      <c r="AC732" s="21"/>
      <c r="AE732" s="21"/>
      <c r="AG732" s="21"/>
      <c r="AI732" s="21"/>
      <c r="AK732" s="21"/>
      <c r="AM732" s="21"/>
      <c r="AN732" s="21"/>
    </row>
    <row r="733">
      <c r="A733" s="21"/>
      <c r="B733" s="21"/>
      <c r="D733" s="21"/>
      <c r="F733" s="21"/>
      <c r="G733" s="21"/>
      <c r="I733" s="21"/>
      <c r="K733" s="21"/>
      <c r="M733" s="21"/>
      <c r="O733" s="21"/>
      <c r="Q733" s="21"/>
      <c r="S733" s="21"/>
      <c r="U733" s="21"/>
      <c r="W733" s="21"/>
      <c r="Y733" s="21"/>
      <c r="AA733" s="21"/>
      <c r="AC733" s="21"/>
      <c r="AE733" s="21"/>
      <c r="AG733" s="21"/>
      <c r="AI733" s="21"/>
      <c r="AK733" s="21"/>
      <c r="AM733" s="21"/>
      <c r="AN733" s="21"/>
    </row>
    <row r="734">
      <c r="A734" s="21"/>
      <c r="B734" s="21"/>
      <c r="D734" s="21"/>
      <c r="F734" s="21"/>
      <c r="G734" s="21"/>
      <c r="I734" s="21"/>
      <c r="K734" s="21"/>
      <c r="M734" s="21"/>
      <c r="O734" s="21"/>
      <c r="Q734" s="21"/>
      <c r="S734" s="21"/>
      <c r="U734" s="21"/>
      <c r="W734" s="21"/>
      <c r="Y734" s="21"/>
      <c r="AA734" s="21"/>
      <c r="AC734" s="21"/>
      <c r="AE734" s="21"/>
      <c r="AG734" s="21"/>
      <c r="AI734" s="21"/>
      <c r="AK734" s="21"/>
      <c r="AM734" s="21"/>
      <c r="AN734" s="21"/>
    </row>
    <row r="735">
      <c r="A735" s="21"/>
      <c r="B735" s="21"/>
      <c r="D735" s="21"/>
      <c r="F735" s="21"/>
      <c r="G735" s="21"/>
      <c r="I735" s="21"/>
      <c r="K735" s="21"/>
      <c r="M735" s="21"/>
      <c r="O735" s="21"/>
      <c r="Q735" s="21"/>
      <c r="S735" s="21"/>
      <c r="U735" s="21"/>
      <c r="W735" s="21"/>
      <c r="Y735" s="21"/>
      <c r="AA735" s="21"/>
      <c r="AC735" s="21"/>
      <c r="AE735" s="21"/>
      <c r="AG735" s="21"/>
      <c r="AI735" s="21"/>
      <c r="AK735" s="21"/>
      <c r="AM735" s="21"/>
      <c r="AN735" s="21"/>
    </row>
    <row r="736">
      <c r="A736" s="21"/>
      <c r="B736" s="21"/>
      <c r="D736" s="21"/>
      <c r="F736" s="21"/>
      <c r="G736" s="21"/>
      <c r="I736" s="21"/>
      <c r="K736" s="21"/>
      <c r="M736" s="21"/>
      <c r="O736" s="21"/>
      <c r="Q736" s="21"/>
      <c r="S736" s="21"/>
      <c r="U736" s="21"/>
      <c r="W736" s="21"/>
      <c r="Y736" s="21"/>
      <c r="AA736" s="21"/>
      <c r="AC736" s="21"/>
      <c r="AE736" s="21"/>
      <c r="AG736" s="21"/>
      <c r="AI736" s="21"/>
      <c r="AK736" s="21"/>
      <c r="AM736" s="21"/>
      <c r="AN736" s="21"/>
    </row>
    <row r="737">
      <c r="A737" s="21"/>
      <c r="B737" s="21"/>
      <c r="D737" s="21"/>
      <c r="F737" s="21"/>
      <c r="G737" s="21"/>
      <c r="I737" s="21"/>
      <c r="K737" s="21"/>
      <c r="M737" s="21"/>
      <c r="O737" s="21"/>
      <c r="Q737" s="21"/>
      <c r="S737" s="21"/>
      <c r="U737" s="21"/>
      <c r="W737" s="21"/>
      <c r="Y737" s="21"/>
      <c r="AA737" s="21"/>
      <c r="AC737" s="21"/>
      <c r="AE737" s="21"/>
      <c r="AG737" s="21"/>
      <c r="AI737" s="21"/>
      <c r="AK737" s="21"/>
      <c r="AM737" s="21"/>
      <c r="AN737" s="21"/>
    </row>
    <row r="738">
      <c r="A738" s="21"/>
      <c r="B738" s="21"/>
      <c r="D738" s="21"/>
      <c r="F738" s="21"/>
      <c r="G738" s="21"/>
      <c r="I738" s="21"/>
      <c r="K738" s="21"/>
      <c r="M738" s="21"/>
      <c r="O738" s="21"/>
      <c r="Q738" s="21"/>
      <c r="S738" s="21"/>
      <c r="U738" s="21"/>
      <c r="W738" s="21"/>
      <c r="Y738" s="21"/>
      <c r="AA738" s="21"/>
      <c r="AC738" s="21"/>
      <c r="AE738" s="21"/>
      <c r="AG738" s="21"/>
      <c r="AI738" s="21"/>
      <c r="AK738" s="21"/>
      <c r="AM738" s="21"/>
      <c r="AN738" s="21"/>
    </row>
    <row r="739">
      <c r="A739" s="21"/>
      <c r="B739" s="21"/>
      <c r="D739" s="21"/>
      <c r="F739" s="21"/>
      <c r="G739" s="21"/>
      <c r="I739" s="21"/>
      <c r="K739" s="21"/>
      <c r="M739" s="21"/>
      <c r="O739" s="21"/>
      <c r="Q739" s="21"/>
      <c r="S739" s="21"/>
      <c r="U739" s="21"/>
      <c r="W739" s="21"/>
      <c r="Y739" s="21"/>
      <c r="AA739" s="21"/>
      <c r="AC739" s="21"/>
      <c r="AE739" s="21"/>
      <c r="AG739" s="21"/>
      <c r="AI739" s="21"/>
      <c r="AK739" s="21"/>
      <c r="AM739" s="21"/>
      <c r="AN739" s="21"/>
    </row>
    <row r="740">
      <c r="A740" s="21"/>
      <c r="B740" s="21"/>
      <c r="D740" s="21"/>
      <c r="F740" s="21"/>
      <c r="G740" s="21"/>
      <c r="I740" s="21"/>
      <c r="K740" s="21"/>
      <c r="M740" s="21"/>
      <c r="O740" s="21"/>
      <c r="Q740" s="21"/>
      <c r="S740" s="21"/>
      <c r="U740" s="21"/>
      <c r="W740" s="21"/>
      <c r="Y740" s="21"/>
      <c r="AA740" s="21"/>
      <c r="AC740" s="21"/>
      <c r="AE740" s="21"/>
      <c r="AG740" s="21"/>
      <c r="AI740" s="21"/>
      <c r="AK740" s="21"/>
      <c r="AM740" s="21"/>
      <c r="AN740" s="21"/>
    </row>
    <row r="741">
      <c r="A741" s="21"/>
      <c r="B741" s="21"/>
      <c r="D741" s="21"/>
      <c r="F741" s="21"/>
      <c r="G741" s="21"/>
      <c r="I741" s="21"/>
      <c r="K741" s="21"/>
      <c r="M741" s="21"/>
      <c r="O741" s="21"/>
      <c r="Q741" s="21"/>
      <c r="S741" s="21"/>
      <c r="U741" s="21"/>
      <c r="W741" s="21"/>
      <c r="Y741" s="21"/>
      <c r="AA741" s="21"/>
      <c r="AC741" s="21"/>
      <c r="AE741" s="21"/>
      <c r="AG741" s="21"/>
      <c r="AI741" s="21"/>
      <c r="AK741" s="21"/>
      <c r="AM741" s="21"/>
      <c r="AN741" s="21"/>
    </row>
    <row r="742">
      <c r="A742" s="21"/>
      <c r="B742" s="21"/>
      <c r="D742" s="21"/>
      <c r="F742" s="21"/>
      <c r="G742" s="21"/>
      <c r="I742" s="21"/>
      <c r="K742" s="21"/>
      <c r="M742" s="21"/>
      <c r="O742" s="21"/>
      <c r="Q742" s="21"/>
      <c r="S742" s="21"/>
      <c r="U742" s="21"/>
      <c r="W742" s="21"/>
      <c r="Y742" s="21"/>
      <c r="AA742" s="21"/>
      <c r="AC742" s="21"/>
      <c r="AE742" s="21"/>
      <c r="AG742" s="21"/>
      <c r="AI742" s="21"/>
      <c r="AK742" s="21"/>
      <c r="AM742" s="21"/>
      <c r="AN742" s="21"/>
    </row>
    <row r="743">
      <c r="A743" s="21"/>
      <c r="B743" s="21"/>
      <c r="D743" s="21"/>
      <c r="F743" s="21"/>
      <c r="G743" s="21"/>
      <c r="I743" s="21"/>
      <c r="K743" s="21"/>
      <c r="M743" s="21"/>
      <c r="O743" s="21"/>
      <c r="Q743" s="21"/>
      <c r="S743" s="21"/>
      <c r="U743" s="21"/>
      <c r="W743" s="21"/>
      <c r="Y743" s="21"/>
      <c r="AA743" s="21"/>
      <c r="AC743" s="21"/>
      <c r="AE743" s="21"/>
      <c r="AG743" s="21"/>
      <c r="AI743" s="21"/>
      <c r="AK743" s="21"/>
      <c r="AM743" s="21"/>
      <c r="AN743" s="21"/>
    </row>
    <row r="744">
      <c r="A744" s="21"/>
      <c r="B744" s="21"/>
      <c r="D744" s="21"/>
      <c r="F744" s="21"/>
      <c r="G744" s="21"/>
      <c r="I744" s="21"/>
      <c r="K744" s="21"/>
      <c r="M744" s="21"/>
      <c r="O744" s="21"/>
      <c r="Q744" s="21"/>
      <c r="S744" s="21"/>
      <c r="U744" s="21"/>
      <c r="W744" s="21"/>
      <c r="Y744" s="21"/>
      <c r="AA744" s="21"/>
      <c r="AC744" s="21"/>
      <c r="AE744" s="21"/>
      <c r="AG744" s="21"/>
      <c r="AI744" s="21"/>
      <c r="AK744" s="21"/>
      <c r="AM744" s="21"/>
      <c r="AN744" s="21"/>
    </row>
    <row r="745">
      <c r="A745" s="21"/>
      <c r="B745" s="21"/>
      <c r="D745" s="21"/>
      <c r="F745" s="21"/>
      <c r="G745" s="21"/>
      <c r="I745" s="21"/>
      <c r="K745" s="21"/>
      <c r="M745" s="21"/>
      <c r="O745" s="21"/>
      <c r="Q745" s="21"/>
      <c r="S745" s="21"/>
      <c r="U745" s="21"/>
      <c r="W745" s="21"/>
      <c r="Y745" s="21"/>
      <c r="AA745" s="21"/>
      <c r="AC745" s="21"/>
      <c r="AE745" s="21"/>
      <c r="AG745" s="21"/>
      <c r="AI745" s="21"/>
      <c r="AK745" s="21"/>
      <c r="AM745" s="21"/>
      <c r="AN745" s="21"/>
    </row>
    <row r="746">
      <c r="A746" s="21"/>
      <c r="B746" s="21"/>
      <c r="D746" s="21"/>
      <c r="F746" s="21"/>
      <c r="G746" s="21"/>
      <c r="I746" s="21"/>
      <c r="K746" s="21"/>
      <c r="M746" s="21"/>
      <c r="O746" s="21"/>
      <c r="Q746" s="21"/>
      <c r="S746" s="21"/>
      <c r="U746" s="21"/>
      <c r="W746" s="21"/>
      <c r="Y746" s="21"/>
      <c r="AA746" s="21"/>
      <c r="AC746" s="21"/>
      <c r="AE746" s="21"/>
      <c r="AG746" s="21"/>
      <c r="AI746" s="21"/>
      <c r="AK746" s="21"/>
      <c r="AM746" s="21"/>
      <c r="AN746" s="21"/>
    </row>
    <row r="747">
      <c r="A747" s="21"/>
      <c r="B747" s="21"/>
      <c r="D747" s="21"/>
      <c r="F747" s="21"/>
      <c r="G747" s="21"/>
      <c r="I747" s="21"/>
      <c r="K747" s="21"/>
      <c r="M747" s="21"/>
      <c r="O747" s="21"/>
      <c r="Q747" s="21"/>
      <c r="S747" s="21"/>
      <c r="U747" s="21"/>
      <c r="W747" s="21"/>
      <c r="Y747" s="21"/>
      <c r="AA747" s="21"/>
      <c r="AC747" s="21"/>
      <c r="AE747" s="21"/>
      <c r="AG747" s="21"/>
      <c r="AI747" s="21"/>
      <c r="AK747" s="21"/>
      <c r="AM747" s="21"/>
      <c r="AN747" s="21"/>
    </row>
    <row r="748">
      <c r="A748" s="21"/>
      <c r="B748" s="21"/>
      <c r="D748" s="21"/>
      <c r="F748" s="21"/>
      <c r="G748" s="21"/>
      <c r="I748" s="21"/>
      <c r="K748" s="21"/>
      <c r="M748" s="21"/>
      <c r="O748" s="21"/>
      <c r="Q748" s="21"/>
      <c r="S748" s="21"/>
      <c r="U748" s="21"/>
      <c r="W748" s="21"/>
      <c r="Y748" s="21"/>
      <c r="AA748" s="21"/>
      <c r="AC748" s="21"/>
      <c r="AE748" s="21"/>
      <c r="AG748" s="21"/>
      <c r="AI748" s="21"/>
      <c r="AK748" s="21"/>
      <c r="AM748" s="21"/>
      <c r="AN748" s="21"/>
    </row>
    <row r="749">
      <c r="A749" s="21"/>
      <c r="B749" s="21"/>
      <c r="D749" s="21"/>
      <c r="F749" s="21"/>
      <c r="G749" s="21"/>
      <c r="I749" s="21"/>
      <c r="K749" s="21"/>
      <c r="M749" s="21"/>
      <c r="O749" s="21"/>
      <c r="Q749" s="21"/>
      <c r="S749" s="21"/>
      <c r="U749" s="21"/>
      <c r="W749" s="21"/>
      <c r="Y749" s="21"/>
      <c r="AA749" s="21"/>
      <c r="AC749" s="21"/>
      <c r="AE749" s="21"/>
      <c r="AG749" s="21"/>
      <c r="AI749" s="21"/>
      <c r="AK749" s="21"/>
      <c r="AM749" s="21"/>
      <c r="AN749" s="21"/>
    </row>
    <row r="750">
      <c r="A750" s="21"/>
      <c r="B750" s="21"/>
      <c r="D750" s="21"/>
      <c r="F750" s="21"/>
      <c r="G750" s="21"/>
      <c r="I750" s="21"/>
      <c r="K750" s="21"/>
      <c r="M750" s="21"/>
      <c r="O750" s="21"/>
      <c r="Q750" s="21"/>
      <c r="S750" s="21"/>
      <c r="U750" s="21"/>
      <c r="W750" s="21"/>
      <c r="Y750" s="21"/>
      <c r="AA750" s="21"/>
      <c r="AC750" s="21"/>
      <c r="AE750" s="21"/>
      <c r="AG750" s="21"/>
      <c r="AI750" s="21"/>
      <c r="AK750" s="21"/>
      <c r="AM750" s="21"/>
      <c r="AN750" s="21"/>
    </row>
    <row r="751">
      <c r="A751" s="21"/>
      <c r="B751" s="21"/>
      <c r="D751" s="21"/>
      <c r="F751" s="21"/>
      <c r="G751" s="21"/>
      <c r="I751" s="21"/>
      <c r="K751" s="21"/>
      <c r="M751" s="21"/>
      <c r="O751" s="21"/>
      <c r="Q751" s="21"/>
      <c r="S751" s="21"/>
      <c r="U751" s="21"/>
      <c r="W751" s="21"/>
      <c r="Y751" s="21"/>
      <c r="AA751" s="21"/>
      <c r="AC751" s="21"/>
      <c r="AE751" s="21"/>
      <c r="AG751" s="21"/>
      <c r="AI751" s="21"/>
      <c r="AK751" s="21"/>
      <c r="AM751" s="21"/>
      <c r="AN751" s="21"/>
    </row>
    <row r="752">
      <c r="A752" s="21"/>
      <c r="B752" s="21"/>
      <c r="D752" s="21"/>
      <c r="F752" s="21"/>
      <c r="G752" s="21"/>
      <c r="I752" s="21"/>
      <c r="K752" s="21"/>
      <c r="M752" s="21"/>
      <c r="O752" s="21"/>
      <c r="Q752" s="21"/>
      <c r="S752" s="21"/>
      <c r="U752" s="21"/>
      <c r="W752" s="21"/>
      <c r="Y752" s="21"/>
      <c r="AA752" s="21"/>
      <c r="AC752" s="21"/>
      <c r="AE752" s="21"/>
      <c r="AG752" s="21"/>
      <c r="AI752" s="21"/>
      <c r="AK752" s="21"/>
      <c r="AM752" s="21"/>
      <c r="AN752" s="21"/>
    </row>
    <row r="753">
      <c r="A753" s="21"/>
      <c r="B753" s="21"/>
      <c r="D753" s="21"/>
      <c r="F753" s="21"/>
      <c r="G753" s="21"/>
      <c r="I753" s="21"/>
      <c r="K753" s="21"/>
      <c r="M753" s="21"/>
      <c r="O753" s="21"/>
      <c r="Q753" s="21"/>
      <c r="S753" s="21"/>
      <c r="U753" s="21"/>
      <c r="W753" s="21"/>
      <c r="Y753" s="21"/>
      <c r="AA753" s="21"/>
      <c r="AC753" s="21"/>
      <c r="AE753" s="21"/>
      <c r="AG753" s="21"/>
      <c r="AI753" s="21"/>
      <c r="AK753" s="21"/>
      <c r="AM753" s="21"/>
      <c r="AN753" s="21"/>
    </row>
    <row r="754">
      <c r="A754" s="21"/>
      <c r="B754" s="21"/>
      <c r="D754" s="21"/>
      <c r="F754" s="21"/>
      <c r="G754" s="21"/>
      <c r="I754" s="21"/>
      <c r="K754" s="21"/>
      <c r="M754" s="21"/>
      <c r="O754" s="21"/>
      <c r="Q754" s="21"/>
      <c r="S754" s="21"/>
      <c r="U754" s="21"/>
      <c r="W754" s="21"/>
      <c r="Y754" s="21"/>
      <c r="AA754" s="21"/>
      <c r="AC754" s="21"/>
      <c r="AE754" s="21"/>
      <c r="AG754" s="21"/>
      <c r="AI754" s="21"/>
      <c r="AK754" s="21"/>
      <c r="AM754" s="21"/>
      <c r="AN754" s="21"/>
    </row>
    <row r="755">
      <c r="A755" s="21"/>
      <c r="B755" s="21"/>
      <c r="D755" s="21"/>
      <c r="F755" s="21"/>
      <c r="G755" s="21"/>
      <c r="I755" s="21"/>
      <c r="K755" s="21"/>
      <c r="M755" s="21"/>
      <c r="O755" s="21"/>
      <c r="Q755" s="21"/>
      <c r="S755" s="21"/>
      <c r="U755" s="21"/>
      <c r="W755" s="21"/>
      <c r="Y755" s="21"/>
      <c r="AA755" s="21"/>
      <c r="AC755" s="21"/>
      <c r="AE755" s="21"/>
      <c r="AG755" s="21"/>
      <c r="AI755" s="21"/>
      <c r="AK755" s="21"/>
      <c r="AM755" s="21"/>
      <c r="AN755" s="21"/>
    </row>
    <row r="756">
      <c r="A756" s="21"/>
      <c r="B756" s="21"/>
      <c r="D756" s="21"/>
      <c r="F756" s="21"/>
      <c r="G756" s="21"/>
      <c r="I756" s="21"/>
      <c r="K756" s="21"/>
      <c r="M756" s="21"/>
      <c r="O756" s="21"/>
      <c r="Q756" s="21"/>
      <c r="S756" s="21"/>
      <c r="U756" s="21"/>
      <c r="W756" s="21"/>
      <c r="Y756" s="21"/>
      <c r="AA756" s="21"/>
      <c r="AC756" s="21"/>
      <c r="AE756" s="21"/>
      <c r="AG756" s="21"/>
      <c r="AI756" s="21"/>
      <c r="AK756" s="21"/>
      <c r="AM756" s="21"/>
      <c r="AN756" s="21"/>
    </row>
    <row r="757">
      <c r="A757" s="21"/>
      <c r="B757" s="21"/>
      <c r="D757" s="21"/>
      <c r="F757" s="21"/>
      <c r="G757" s="21"/>
      <c r="I757" s="21"/>
      <c r="K757" s="21"/>
      <c r="M757" s="21"/>
      <c r="O757" s="21"/>
      <c r="Q757" s="21"/>
      <c r="S757" s="21"/>
      <c r="U757" s="21"/>
      <c r="W757" s="21"/>
      <c r="Y757" s="21"/>
      <c r="AA757" s="21"/>
      <c r="AC757" s="21"/>
      <c r="AE757" s="21"/>
      <c r="AG757" s="21"/>
      <c r="AI757" s="21"/>
      <c r="AK757" s="21"/>
      <c r="AM757" s="21"/>
      <c r="AN757" s="21"/>
    </row>
    <row r="758">
      <c r="A758" s="21"/>
      <c r="B758" s="21"/>
      <c r="D758" s="21"/>
      <c r="F758" s="21"/>
      <c r="G758" s="21"/>
      <c r="I758" s="21"/>
      <c r="K758" s="21"/>
      <c r="M758" s="21"/>
      <c r="O758" s="21"/>
      <c r="Q758" s="21"/>
      <c r="S758" s="21"/>
      <c r="U758" s="21"/>
      <c r="W758" s="21"/>
      <c r="Y758" s="21"/>
      <c r="AA758" s="21"/>
      <c r="AC758" s="21"/>
      <c r="AE758" s="21"/>
      <c r="AG758" s="21"/>
      <c r="AI758" s="21"/>
      <c r="AK758" s="21"/>
      <c r="AM758" s="21"/>
      <c r="AN758" s="21"/>
    </row>
    <row r="759">
      <c r="A759" s="21"/>
      <c r="B759" s="21"/>
      <c r="D759" s="21"/>
      <c r="F759" s="21"/>
      <c r="G759" s="21"/>
      <c r="I759" s="21"/>
      <c r="K759" s="21"/>
      <c r="M759" s="21"/>
      <c r="O759" s="21"/>
      <c r="Q759" s="21"/>
      <c r="S759" s="21"/>
      <c r="U759" s="21"/>
      <c r="W759" s="21"/>
      <c r="Y759" s="21"/>
      <c r="AA759" s="21"/>
      <c r="AC759" s="21"/>
      <c r="AE759" s="21"/>
      <c r="AG759" s="21"/>
      <c r="AI759" s="21"/>
      <c r="AK759" s="21"/>
      <c r="AM759" s="21"/>
      <c r="AN759" s="21"/>
    </row>
    <row r="760">
      <c r="A760" s="21"/>
      <c r="B760" s="21"/>
      <c r="D760" s="21"/>
      <c r="F760" s="21"/>
      <c r="G760" s="21"/>
      <c r="I760" s="21"/>
      <c r="K760" s="21"/>
      <c r="M760" s="21"/>
      <c r="O760" s="21"/>
      <c r="Q760" s="21"/>
      <c r="S760" s="21"/>
      <c r="U760" s="21"/>
      <c r="W760" s="21"/>
      <c r="Y760" s="21"/>
      <c r="AA760" s="21"/>
      <c r="AC760" s="21"/>
      <c r="AE760" s="21"/>
      <c r="AG760" s="21"/>
      <c r="AI760" s="21"/>
      <c r="AK760" s="21"/>
      <c r="AM760" s="21"/>
      <c r="AN760" s="21"/>
    </row>
    <row r="761">
      <c r="A761" s="21"/>
      <c r="B761" s="21"/>
      <c r="D761" s="21"/>
      <c r="F761" s="21"/>
      <c r="G761" s="21"/>
      <c r="I761" s="21"/>
      <c r="K761" s="21"/>
      <c r="M761" s="21"/>
      <c r="O761" s="21"/>
      <c r="Q761" s="21"/>
      <c r="S761" s="21"/>
      <c r="U761" s="21"/>
      <c r="W761" s="21"/>
      <c r="Y761" s="21"/>
      <c r="AA761" s="21"/>
      <c r="AC761" s="21"/>
      <c r="AE761" s="21"/>
      <c r="AG761" s="21"/>
      <c r="AI761" s="21"/>
      <c r="AK761" s="21"/>
      <c r="AM761" s="21"/>
      <c r="AN761" s="21"/>
    </row>
    <row r="762">
      <c r="A762" s="21"/>
      <c r="B762" s="21"/>
      <c r="D762" s="21"/>
      <c r="F762" s="21"/>
      <c r="G762" s="21"/>
      <c r="I762" s="21"/>
      <c r="K762" s="21"/>
      <c r="M762" s="21"/>
      <c r="O762" s="21"/>
      <c r="Q762" s="21"/>
      <c r="S762" s="21"/>
      <c r="U762" s="21"/>
      <c r="W762" s="21"/>
      <c r="Y762" s="21"/>
      <c r="AA762" s="21"/>
      <c r="AC762" s="21"/>
      <c r="AE762" s="21"/>
      <c r="AG762" s="21"/>
      <c r="AI762" s="21"/>
      <c r="AK762" s="21"/>
      <c r="AM762" s="21"/>
      <c r="AN762" s="21"/>
    </row>
    <row r="763">
      <c r="A763" s="21"/>
      <c r="B763" s="21"/>
      <c r="D763" s="21"/>
      <c r="F763" s="21"/>
      <c r="G763" s="21"/>
      <c r="I763" s="21"/>
      <c r="K763" s="21"/>
      <c r="M763" s="21"/>
      <c r="O763" s="21"/>
      <c r="Q763" s="21"/>
      <c r="S763" s="21"/>
      <c r="U763" s="21"/>
      <c r="W763" s="21"/>
      <c r="Y763" s="21"/>
      <c r="AA763" s="21"/>
      <c r="AC763" s="21"/>
      <c r="AE763" s="21"/>
      <c r="AG763" s="21"/>
      <c r="AI763" s="21"/>
      <c r="AK763" s="21"/>
      <c r="AM763" s="21"/>
      <c r="AN763" s="21"/>
    </row>
    <row r="764">
      <c r="A764" s="21"/>
      <c r="B764" s="21"/>
      <c r="D764" s="21"/>
      <c r="F764" s="21"/>
      <c r="G764" s="21"/>
      <c r="I764" s="21"/>
      <c r="K764" s="21"/>
      <c r="M764" s="21"/>
      <c r="O764" s="21"/>
      <c r="Q764" s="21"/>
      <c r="S764" s="21"/>
      <c r="U764" s="21"/>
      <c r="W764" s="21"/>
      <c r="Y764" s="21"/>
      <c r="AA764" s="21"/>
      <c r="AC764" s="21"/>
      <c r="AE764" s="21"/>
      <c r="AG764" s="21"/>
      <c r="AI764" s="21"/>
      <c r="AK764" s="21"/>
      <c r="AM764" s="21"/>
      <c r="AN764" s="21"/>
    </row>
    <row r="765">
      <c r="A765" s="21"/>
      <c r="B765" s="21"/>
      <c r="D765" s="21"/>
      <c r="F765" s="21"/>
      <c r="G765" s="21"/>
      <c r="I765" s="21"/>
      <c r="K765" s="21"/>
      <c r="M765" s="21"/>
      <c r="O765" s="21"/>
      <c r="Q765" s="21"/>
      <c r="S765" s="21"/>
      <c r="U765" s="21"/>
      <c r="W765" s="21"/>
      <c r="Y765" s="21"/>
      <c r="AA765" s="21"/>
      <c r="AC765" s="21"/>
      <c r="AE765" s="21"/>
      <c r="AG765" s="21"/>
      <c r="AI765" s="21"/>
      <c r="AK765" s="21"/>
      <c r="AM765" s="21"/>
      <c r="AN765" s="21"/>
    </row>
    <row r="766">
      <c r="A766" s="21"/>
      <c r="B766" s="21"/>
      <c r="D766" s="21"/>
      <c r="F766" s="21"/>
      <c r="G766" s="21"/>
      <c r="I766" s="21"/>
      <c r="K766" s="21"/>
      <c r="M766" s="21"/>
      <c r="O766" s="21"/>
      <c r="Q766" s="21"/>
      <c r="S766" s="21"/>
      <c r="U766" s="21"/>
      <c r="W766" s="21"/>
      <c r="Y766" s="21"/>
      <c r="AA766" s="21"/>
      <c r="AC766" s="21"/>
      <c r="AE766" s="21"/>
      <c r="AG766" s="21"/>
      <c r="AI766" s="21"/>
      <c r="AK766" s="21"/>
      <c r="AM766" s="21"/>
      <c r="AN766" s="21"/>
    </row>
    <row r="767">
      <c r="A767" s="21"/>
      <c r="B767" s="21"/>
      <c r="D767" s="21"/>
      <c r="F767" s="21"/>
      <c r="G767" s="21"/>
      <c r="I767" s="21"/>
      <c r="K767" s="21"/>
      <c r="M767" s="21"/>
      <c r="O767" s="21"/>
      <c r="Q767" s="21"/>
      <c r="S767" s="21"/>
      <c r="U767" s="21"/>
      <c r="W767" s="21"/>
      <c r="Y767" s="21"/>
      <c r="AA767" s="21"/>
      <c r="AC767" s="21"/>
      <c r="AE767" s="21"/>
      <c r="AG767" s="21"/>
      <c r="AI767" s="21"/>
      <c r="AK767" s="21"/>
      <c r="AM767" s="21"/>
      <c r="AN767" s="21"/>
    </row>
    <row r="768">
      <c r="A768" s="21"/>
      <c r="B768" s="21"/>
      <c r="D768" s="21"/>
      <c r="F768" s="21"/>
      <c r="G768" s="21"/>
      <c r="I768" s="21"/>
      <c r="K768" s="21"/>
      <c r="M768" s="21"/>
      <c r="O768" s="21"/>
      <c r="Q768" s="21"/>
      <c r="S768" s="21"/>
      <c r="U768" s="21"/>
      <c r="W768" s="21"/>
      <c r="Y768" s="21"/>
      <c r="AA768" s="21"/>
      <c r="AC768" s="21"/>
      <c r="AE768" s="21"/>
      <c r="AG768" s="21"/>
      <c r="AI768" s="21"/>
      <c r="AK768" s="21"/>
      <c r="AM768" s="21"/>
      <c r="AN768" s="21"/>
    </row>
    <row r="769">
      <c r="A769" s="21"/>
      <c r="B769" s="21"/>
      <c r="D769" s="21"/>
      <c r="F769" s="21"/>
      <c r="G769" s="21"/>
      <c r="I769" s="21"/>
      <c r="K769" s="21"/>
      <c r="M769" s="21"/>
      <c r="O769" s="21"/>
      <c r="Q769" s="21"/>
      <c r="S769" s="21"/>
      <c r="U769" s="21"/>
      <c r="W769" s="21"/>
      <c r="Y769" s="21"/>
      <c r="AA769" s="21"/>
      <c r="AC769" s="21"/>
      <c r="AE769" s="21"/>
      <c r="AG769" s="21"/>
      <c r="AI769" s="21"/>
      <c r="AK769" s="21"/>
      <c r="AM769" s="21"/>
      <c r="AN769" s="21"/>
    </row>
    <row r="770">
      <c r="A770" s="21"/>
      <c r="B770" s="21"/>
      <c r="D770" s="21"/>
      <c r="F770" s="21"/>
      <c r="G770" s="21"/>
      <c r="I770" s="21"/>
      <c r="K770" s="21"/>
      <c r="M770" s="21"/>
      <c r="O770" s="21"/>
      <c r="Q770" s="21"/>
      <c r="S770" s="21"/>
      <c r="U770" s="21"/>
      <c r="W770" s="21"/>
      <c r="Y770" s="21"/>
      <c r="AA770" s="21"/>
      <c r="AC770" s="21"/>
      <c r="AE770" s="21"/>
      <c r="AG770" s="21"/>
      <c r="AI770" s="21"/>
      <c r="AK770" s="21"/>
      <c r="AM770" s="21"/>
      <c r="AN770" s="21"/>
    </row>
    <row r="771">
      <c r="A771" s="21"/>
      <c r="B771" s="21"/>
      <c r="D771" s="21"/>
      <c r="F771" s="21"/>
      <c r="G771" s="21"/>
      <c r="I771" s="21"/>
      <c r="K771" s="21"/>
      <c r="M771" s="21"/>
      <c r="O771" s="21"/>
      <c r="Q771" s="21"/>
      <c r="S771" s="21"/>
      <c r="U771" s="21"/>
      <c r="W771" s="21"/>
      <c r="Y771" s="21"/>
      <c r="AA771" s="21"/>
      <c r="AC771" s="21"/>
      <c r="AE771" s="21"/>
      <c r="AG771" s="21"/>
      <c r="AI771" s="21"/>
      <c r="AK771" s="21"/>
      <c r="AM771" s="21"/>
      <c r="AN771" s="21"/>
    </row>
    <row r="772">
      <c r="A772" s="21"/>
      <c r="B772" s="21"/>
      <c r="D772" s="21"/>
      <c r="F772" s="21"/>
      <c r="G772" s="21"/>
      <c r="I772" s="21"/>
      <c r="K772" s="21"/>
      <c r="M772" s="21"/>
      <c r="O772" s="21"/>
      <c r="Q772" s="21"/>
      <c r="S772" s="21"/>
      <c r="U772" s="21"/>
      <c r="W772" s="21"/>
      <c r="Y772" s="21"/>
      <c r="AA772" s="21"/>
      <c r="AC772" s="21"/>
      <c r="AE772" s="21"/>
      <c r="AG772" s="21"/>
      <c r="AI772" s="21"/>
      <c r="AK772" s="21"/>
      <c r="AM772" s="21"/>
      <c r="AN772" s="21"/>
    </row>
    <row r="773">
      <c r="A773" s="21"/>
      <c r="B773" s="21"/>
      <c r="D773" s="21"/>
      <c r="F773" s="21"/>
      <c r="G773" s="21"/>
      <c r="I773" s="21"/>
      <c r="K773" s="21"/>
      <c r="M773" s="21"/>
      <c r="O773" s="21"/>
      <c r="Q773" s="21"/>
      <c r="S773" s="21"/>
      <c r="U773" s="21"/>
      <c r="W773" s="21"/>
      <c r="Y773" s="21"/>
      <c r="AA773" s="21"/>
      <c r="AC773" s="21"/>
      <c r="AE773" s="21"/>
      <c r="AG773" s="21"/>
      <c r="AI773" s="21"/>
      <c r="AK773" s="21"/>
      <c r="AM773" s="21"/>
      <c r="AN773" s="21"/>
    </row>
    <row r="774">
      <c r="A774" s="21"/>
      <c r="B774" s="21"/>
      <c r="D774" s="21"/>
      <c r="F774" s="21"/>
      <c r="G774" s="21"/>
      <c r="I774" s="21"/>
      <c r="K774" s="21"/>
      <c r="M774" s="21"/>
      <c r="O774" s="21"/>
      <c r="Q774" s="21"/>
      <c r="S774" s="21"/>
      <c r="U774" s="21"/>
      <c r="W774" s="21"/>
      <c r="Y774" s="21"/>
      <c r="AA774" s="21"/>
      <c r="AC774" s="21"/>
      <c r="AE774" s="21"/>
      <c r="AG774" s="21"/>
      <c r="AI774" s="21"/>
      <c r="AK774" s="21"/>
      <c r="AM774" s="21"/>
      <c r="AN774" s="21"/>
    </row>
    <row r="775">
      <c r="A775" s="21"/>
      <c r="B775" s="21"/>
      <c r="D775" s="21"/>
      <c r="F775" s="21"/>
      <c r="G775" s="21"/>
      <c r="I775" s="21"/>
      <c r="K775" s="21"/>
      <c r="M775" s="21"/>
      <c r="O775" s="21"/>
      <c r="Q775" s="21"/>
      <c r="S775" s="21"/>
      <c r="U775" s="21"/>
      <c r="W775" s="21"/>
      <c r="Y775" s="21"/>
      <c r="AA775" s="21"/>
      <c r="AC775" s="21"/>
      <c r="AE775" s="21"/>
      <c r="AG775" s="21"/>
      <c r="AI775" s="21"/>
      <c r="AK775" s="21"/>
      <c r="AM775" s="21"/>
      <c r="AN775" s="21"/>
    </row>
    <row r="776">
      <c r="A776" s="21"/>
      <c r="B776" s="21"/>
      <c r="D776" s="21"/>
      <c r="F776" s="21"/>
      <c r="G776" s="21"/>
      <c r="I776" s="21"/>
      <c r="K776" s="21"/>
      <c r="M776" s="21"/>
      <c r="O776" s="21"/>
      <c r="Q776" s="21"/>
      <c r="S776" s="21"/>
      <c r="U776" s="21"/>
      <c r="W776" s="21"/>
      <c r="Y776" s="21"/>
      <c r="AA776" s="21"/>
      <c r="AC776" s="21"/>
      <c r="AE776" s="21"/>
      <c r="AG776" s="21"/>
      <c r="AI776" s="21"/>
      <c r="AK776" s="21"/>
      <c r="AM776" s="21"/>
      <c r="AN776" s="21"/>
    </row>
    <row r="777">
      <c r="A777" s="21"/>
      <c r="B777" s="21"/>
      <c r="D777" s="21"/>
      <c r="F777" s="21"/>
      <c r="G777" s="21"/>
      <c r="I777" s="21"/>
      <c r="K777" s="21"/>
      <c r="M777" s="21"/>
      <c r="O777" s="21"/>
      <c r="Q777" s="21"/>
      <c r="S777" s="21"/>
      <c r="U777" s="21"/>
      <c r="W777" s="21"/>
      <c r="Y777" s="21"/>
      <c r="AA777" s="21"/>
      <c r="AC777" s="21"/>
      <c r="AE777" s="21"/>
      <c r="AG777" s="21"/>
      <c r="AI777" s="21"/>
      <c r="AK777" s="21"/>
      <c r="AM777" s="21"/>
      <c r="AN777" s="21"/>
    </row>
    <row r="778">
      <c r="A778" s="21"/>
      <c r="B778" s="21"/>
      <c r="D778" s="21"/>
      <c r="F778" s="21"/>
      <c r="G778" s="21"/>
      <c r="I778" s="21"/>
      <c r="K778" s="21"/>
      <c r="M778" s="21"/>
      <c r="O778" s="21"/>
      <c r="Q778" s="21"/>
      <c r="S778" s="21"/>
      <c r="U778" s="21"/>
      <c r="W778" s="21"/>
      <c r="Y778" s="21"/>
      <c r="AA778" s="21"/>
      <c r="AC778" s="21"/>
      <c r="AE778" s="21"/>
      <c r="AG778" s="21"/>
      <c r="AI778" s="21"/>
      <c r="AK778" s="21"/>
      <c r="AM778" s="21"/>
      <c r="AN778" s="21"/>
    </row>
    <row r="779">
      <c r="A779" s="21"/>
      <c r="B779" s="21"/>
      <c r="D779" s="21"/>
      <c r="F779" s="21"/>
      <c r="G779" s="21"/>
      <c r="I779" s="21"/>
      <c r="K779" s="21"/>
      <c r="M779" s="21"/>
      <c r="O779" s="21"/>
      <c r="Q779" s="21"/>
      <c r="S779" s="21"/>
      <c r="U779" s="21"/>
      <c r="W779" s="21"/>
      <c r="Y779" s="21"/>
      <c r="AA779" s="21"/>
      <c r="AC779" s="21"/>
      <c r="AE779" s="21"/>
      <c r="AG779" s="21"/>
      <c r="AI779" s="21"/>
      <c r="AK779" s="21"/>
      <c r="AM779" s="21"/>
      <c r="AN779" s="21"/>
    </row>
    <row r="780">
      <c r="A780" s="21"/>
      <c r="B780" s="21"/>
      <c r="D780" s="21"/>
      <c r="F780" s="21"/>
      <c r="G780" s="21"/>
      <c r="I780" s="21"/>
      <c r="K780" s="21"/>
      <c r="M780" s="21"/>
      <c r="O780" s="21"/>
      <c r="Q780" s="21"/>
      <c r="S780" s="21"/>
      <c r="U780" s="21"/>
      <c r="W780" s="21"/>
      <c r="Y780" s="21"/>
      <c r="AA780" s="21"/>
      <c r="AC780" s="21"/>
      <c r="AE780" s="21"/>
      <c r="AG780" s="21"/>
      <c r="AI780" s="21"/>
      <c r="AK780" s="21"/>
      <c r="AM780" s="21"/>
      <c r="AN780" s="21"/>
    </row>
    <row r="781">
      <c r="A781" s="21"/>
      <c r="B781" s="21"/>
      <c r="D781" s="21"/>
      <c r="F781" s="21"/>
      <c r="G781" s="21"/>
      <c r="I781" s="21"/>
      <c r="K781" s="21"/>
      <c r="M781" s="21"/>
      <c r="O781" s="21"/>
      <c r="Q781" s="21"/>
      <c r="S781" s="21"/>
      <c r="U781" s="21"/>
      <c r="W781" s="21"/>
      <c r="Y781" s="21"/>
      <c r="AA781" s="21"/>
      <c r="AC781" s="21"/>
      <c r="AE781" s="21"/>
      <c r="AG781" s="21"/>
      <c r="AI781" s="21"/>
      <c r="AK781" s="21"/>
      <c r="AM781" s="21"/>
      <c r="AN781" s="21"/>
    </row>
    <row r="782">
      <c r="A782" s="21"/>
      <c r="B782" s="21"/>
      <c r="D782" s="21"/>
      <c r="F782" s="21"/>
      <c r="G782" s="21"/>
      <c r="I782" s="21"/>
      <c r="K782" s="21"/>
      <c r="M782" s="21"/>
      <c r="O782" s="21"/>
      <c r="Q782" s="21"/>
      <c r="S782" s="21"/>
      <c r="U782" s="21"/>
      <c r="W782" s="21"/>
      <c r="Y782" s="21"/>
      <c r="AA782" s="21"/>
      <c r="AC782" s="21"/>
      <c r="AE782" s="21"/>
      <c r="AG782" s="21"/>
      <c r="AI782" s="21"/>
      <c r="AK782" s="21"/>
      <c r="AM782" s="21"/>
      <c r="AN782" s="21"/>
    </row>
    <row r="783">
      <c r="A783" s="21"/>
      <c r="B783" s="21"/>
      <c r="D783" s="21"/>
      <c r="F783" s="21"/>
      <c r="G783" s="21"/>
      <c r="I783" s="21"/>
      <c r="K783" s="21"/>
      <c r="M783" s="21"/>
      <c r="O783" s="21"/>
      <c r="Q783" s="21"/>
      <c r="S783" s="21"/>
      <c r="U783" s="21"/>
      <c r="W783" s="21"/>
      <c r="Y783" s="21"/>
      <c r="AA783" s="21"/>
      <c r="AC783" s="21"/>
      <c r="AE783" s="21"/>
      <c r="AG783" s="21"/>
      <c r="AI783" s="21"/>
      <c r="AK783" s="21"/>
      <c r="AM783" s="21"/>
      <c r="AN783" s="21"/>
    </row>
    <row r="784">
      <c r="A784" s="21"/>
      <c r="B784" s="21"/>
      <c r="D784" s="21"/>
      <c r="F784" s="21"/>
      <c r="G784" s="21"/>
      <c r="I784" s="21"/>
      <c r="K784" s="21"/>
      <c r="M784" s="21"/>
      <c r="O784" s="21"/>
      <c r="Q784" s="21"/>
      <c r="S784" s="21"/>
      <c r="U784" s="21"/>
      <c r="W784" s="21"/>
      <c r="Y784" s="21"/>
      <c r="AA784" s="21"/>
      <c r="AC784" s="21"/>
      <c r="AE784" s="21"/>
      <c r="AG784" s="21"/>
      <c r="AI784" s="21"/>
      <c r="AK784" s="21"/>
      <c r="AM784" s="21"/>
      <c r="AN784" s="21"/>
    </row>
    <row r="785">
      <c r="A785" s="21"/>
      <c r="B785" s="21"/>
      <c r="D785" s="21"/>
      <c r="F785" s="21"/>
      <c r="G785" s="21"/>
      <c r="I785" s="21"/>
      <c r="K785" s="21"/>
      <c r="M785" s="21"/>
      <c r="O785" s="21"/>
      <c r="Q785" s="21"/>
      <c r="S785" s="21"/>
      <c r="U785" s="21"/>
      <c r="W785" s="21"/>
      <c r="Y785" s="21"/>
      <c r="AA785" s="21"/>
      <c r="AC785" s="21"/>
      <c r="AE785" s="21"/>
      <c r="AG785" s="21"/>
      <c r="AI785" s="21"/>
      <c r="AK785" s="21"/>
      <c r="AM785" s="21"/>
      <c r="AN785" s="21"/>
    </row>
    <row r="786">
      <c r="A786" s="21"/>
      <c r="B786" s="21"/>
      <c r="D786" s="21"/>
      <c r="F786" s="21"/>
      <c r="G786" s="21"/>
      <c r="I786" s="21"/>
      <c r="K786" s="21"/>
      <c r="M786" s="21"/>
      <c r="O786" s="21"/>
      <c r="Q786" s="21"/>
      <c r="S786" s="21"/>
      <c r="U786" s="21"/>
      <c r="W786" s="21"/>
      <c r="Y786" s="21"/>
      <c r="AA786" s="21"/>
      <c r="AC786" s="21"/>
      <c r="AE786" s="21"/>
      <c r="AG786" s="21"/>
      <c r="AI786" s="21"/>
      <c r="AK786" s="21"/>
      <c r="AM786" s="21"/>
      <c r="AN786" s="21"/>
    </row>
    <row r="787">
      <c r="A787" s="21"/>
      <c r="B787" s="21"/>
      <c r="D787" s="21"/>
      <c r="F787" s="21"/>
      <c r="G787" s="21"/>
      <c r="I787" s="21"/>
      <c r="K787" s="21"/>
      <c r="M787" s="21"/>
      <c r="O787" s="21"/>
      <c r="Q787" s="21"/>
      <c r="S787" s="21"/>
      <c r="U787" s="21"/>
      <c r="W787" s="21"/>
      <c r="Y787" s="21"/>
      <c r="AA787" s="21"/>
      <c r="AC787" s="21"/>
      <c r="AE787" s="21"/>
      <c r="AG787" s="21"/>
      <c r="AI787" s="21"/>
      <c r="AK787" s="21"/>
      <c r="AM787" s="21"/>
      <c r="AN787" s="21"/>
    </row>
    <row r="788">
      <c r="A788" s="21"/>
      <c r="B788" s="21"/>
      <c r="D788" s="21"/>
      <c r="F788" s="21"/>
      <c r="G788" s="21"/>
      <c r="I788" s="21"/>
      <c r="K788" s="21"/>
      <c r="M788" s="21"/>
      <c r="O788" s="21"/>
      <c r="Q788" s="21"/>
      <c r="S788" s="21"/>
      <c r="U788" s="21"/>
      <c r="W788" s="21"/>
      <c r="Y788" s="21"/>
      <c r="AA788" s="21"/>
      <c r="AC788" s="21"/>
      <c r="AE788" s="21"/>
      <c r="AG788" s="21"/>
      <c r="AI788" s="21"/>
      <c r="AK788" s="21"/>
      <c r="AM788" s="21"/>
      <c r="AN788" s="21"/>
    </row>
    <row r="789">
      <c r="A789" s="21"/>
      <c r="B789" s="21"/>
      <c r="D789" s="21"/>
      <c r="F789" s="21"/>
      <c r="G789" s="21"/>
      <c r="I789" s="21"/>
      <c r="K789" s="21"/>
      <c r="M789" s="21"/>
      <c r="O789" s="21"/>
      <c r="Q789" s="21"/>
      <c r="S789" s="21"/>
      <c r="U789" s="21"/>
      <c r="W789" s="21"/>
      <c r="Y789" s="21"/>
      <c r="AA789" s="21"/>
      <c r="AC789" s="21"/>
      <c r="AE789" s="21"/>
      <c r="AG789" s="21"/>
      <c r="AI789" s="21"/>
      <c r="AK789" s="21"/>
      <c r="AM789" s="21"/>
      <c r="AN789" s="21"/>
    </row>
    <row r="790">
      <c r="A790" s="21"/>
      <c r="B790" s="21"/>
      <c r="D790" s="21"/>
      <c r="F790" s="21"/>
      <c r="G790" s="21"/>
      <c r="I790" s="21"/>
      <c r="K790" s="21"/>
      <c r="M790" s="21"/>
      <c r="O790" s="21"/>
      <c r="Q790" s="21"/>
      <c r="S790" s="21"/>
      <c r="U790" s="21"/>
      <c r="W790" s="21"/>
      <c r="Y790" s="21"/>
      <c r="AA790" s="21"/>
      <c r="AC790" s="21"/>
      <c r="AE790" s="21"/>
      <c r="AG790" s="21"/>
      <c r="AI790" s="21"/>
      <c r="AK790" s="21"/>
      <c r="AM790" s="21"/>
      <c r="AN790" s="21"/>
    </row>
    <row r="791">
      <c r="A791" s="21"/>
      <c r="B791" s="21"/>
      <c r="D791" s="21"/>
      <c r="F791" s="21"/>
      <c r="G791" s="21"/>
      <c r="I791" s="21"/>
      <c r="K791" s="21"/>
      <c r="M791" s="21"/>
      <c r="O791" s="21"/>
      <c r="Q791" s="21"/>
      <c r="S791" s="21"/>
      <c r="U791" s="21"/>
      <c r="W791" s="21"/>
      <c r="Y791" s="21"/>
      <c r="AA791" s="21"/>
      <c r="AC791" s="21"/>
      <c r="AE791" s="21"/>
      <c r="AG791" s="21"/>
      <c r="AI791" s="21"/>
      <c r="AK791" s="21"/>
      <c r="AM791" s="21"/>
      <c r="AN791" s="21"/>
    </row>
    <row r="792">
      <c r="A792" s="21"/>
      <c r="B792" s="21"/>
      <c r="D792" s="21"/>
      <c r="F792" s="21"/>
      <c r="G792" s="21"/>
      <c r="I792" s="21"/>
      <c r="K792" s="21"/>
      <c r="M792" s="21"/>
      <c r="O792" s="21"/>
      <c r="Q792" s="21"/>
      <c r="S792" s="21"/>
      <c r="U792" s="21"/>
      <c r="W792" s="21"/>
      <c r="Y792" s="21"/>
      <c r="AA792" s="21"/>
      <c r="AC792" s="21"/>
      <c r="AE792" s="21"/>
      <c r="AG792" s="21"/>
      <c r="AI792" s="21"/>
      <c r="AK792" s="21"/>
      <c r="AM792" s="21"/>
      <c r="AN792" s="21"/>
    </row>
    <row r="793">
      <c r="A793" s="21"/>
      <c r="B793" s="21"/>
      <c r="D793" s="21"/>
      <c r="F793" s="21"/>
      <c r="G793" s="21"/>
      <c r="I793" s="21"/>
      <c r="K793" s="21"/>
      <c r="M793" s="21"/>
      <c r="O793" s="21"/>
      <c r="Q793" s="21"/>
      <c r="S793" s="21"/>
      <c r="U793" s="21"/>
      <c r="W793" s="21"/>
      <c r="Y793" s="21"/>
      <c r="AA793" s="21"/>
      <c r="AC793" s="21"/>
      <c r="AE793" s="21"/>
      <c r="AG793" s="21"/>
      <c r="AI793" s="21"/>
      <c r="AK793" s="21"/>
      <c r="AM793" s="21"/>
      <c r="AN793" s="21"/>
    </row>
    <row r="794">
      <c r="A794" s="21"/>
      <c r="B794" s="21"/>
      <c r="D794" s="21"/>
      <c r="F794" s="21"/>
      <c r="G794" s="21"/>
      <c r="I794" s="21"/>
      <c r="K794" s="21"/>
      <c r="M794" s="21"/>
      <c r="O794" s="21"/>
      <c r="Q794" s="21"/>
      <c r="S794" s="21"/>
      <c r="U794" s="21"/>
      <c r="W794" s="21"/>
      <c r="Y794" s="21"/>
      <c r="AA794" s="21"/>
      <c r="AC794" s="21"/>
      <c r="AE794" s="21"/>
      <c r="AG794" s="21"/>
      <c r="AI794" s="21"/>
      <c r="AK794" s="21"/>
      <c r="AM794" s="21"/>
      <c r="AN794" s="21"/>
    </row>
    <row r="795">
      <c r="A795" s="21"/>
      <c r="B795" s="21"/>
      <c r="D795" s="21"/>
      <c r="F795" s="21"/>
      <c r="G795" s="21"/>
      <c r="I795" s="21"/>
      <c r="K795" s="21"/>
      <c r="M795" s="21"/>
      <c r="O795" s="21"/>
      <c r="Q795" s="21"/>
      <c r="S795" s="21"/>
      <c r="U795" s="21"/>
      <c r="W795" s="21"/>
      <c r="Y795" s="21"/>
      <c r="AA795" s="21"/>
      <c r="AC795" s="21"/>
      <c r="AE795" s="21"/>
      <c r="AG795" s="21"/>
      <c r="AI795" s="21"/>
      <c r="AK795" s="21"/>
      <c r="AM795" s="21"/>
      <c r="AN795" s="21"/>
    </row>
    <row r="796">
      <c r="A796" s="21"/>
      <c r="B796" s="21"/>
      <c r="D796" s="21"/>
      <c r="F796" s="21"/>
      <c r="G796" s="21"/>
      <c r="I796" s="21"/>
      <c r="K796" s="21"/>
      <c r="M796" s="21"/>
      <c r="O796" s="21"/>
      <c r="Q796" s="21"/>
      <c r="S796" s="21"/>
      <c r="U796" s="21"/>
      <c r="W796" s="21"/>
      <c r="Y796" s="21"/>
      <c r="AA796" s="21"/>
      <c r="AC796" s="21"/>
      <c r="AE796" s="21"/>
      <c r="AG796" s="21"/>
      <c r="AI796" s="21"/>
      <c r="AK796" s="21"/>
      <c r="AM796" s="21"/>
      <c r="AN796" s="21"/>
    </row>
    <row r="797">
      <c r="A797" s="21"/>
      <c r="B797" s="21"/>
      <c r="D797" s="21"/>
      <c r="F797" s="21"/>
      <c r="G797" s="21"/>
      <c r="I797" s="21"/>
      <c r="K797" s="21"/>
      <c r="M797" s="21"/>
      <c r="O797" s="21"/>
      <c r="Q797" s="21"/>
      <c r="S797" s="21"/>
      <c r="U797" s="21"/>
      <c r="W797" s="21"/>
      <c r="Y797" s="21"/>
      <c r="AA797" s="21"/>
      <c r="AC797" s="21"/>
      <c r="AE797" s="21"/>
      <c r="AG797" s="21"/>
      <c r="AI797" s="21"/>
      <c r="AK797" s="21"/>
      <c r="AM797" s="21"/>
      <c r="AN797" s="21"/>
    </row>
    <row r="798">
      <c r="A798" s="21"/>
      <c r="B798" s="21"/>
      <c r="D798" s="21"/>
      <c r="F798" s="21"/>
      <c r="G798" s="21"/>
      <c r="I798" s="21"/>
      <c r="K798" s="21"/>
      <c r="M798" s="21"/>
      <c r="O798" s="21"/>
      <c r="Q798" s="21"/>
      <c r="S798" s="21"/>
      <c r="U798" s="21"/>
      <c r="W798" s="21"/>
      <c r="Y798" s="21"/>
      <c r="AA798" s="21"/>
      <c r="AC798" s="21"/>
      <c r="AE798" s="21"/>
      <c r="AG798" s="21"/>
      <c r="AI798" s="21"/>
      <c r="AK798" s="21"/>
      <c r="AM798" s="21"/>
      <c r="AN798" s="21"/>
    </row>
    <row r="799">
      <c r="A799" s="21"/>
      <c r="B799" s="21"/>
      <c r="D799" s="21"/>
      <c r="F799" s="21"/>
      <c r="G799" s="21"/>
      <c r="I799" s="21"/>
      <c r="K799" s="21"/>
      <c r="M799" s="21"/>
      <c r="O799" s="21"/>
      <c r="Q799" s="21"/>
      <c r="S799" s="21"/>
      <c r="U799" s="21"/>
      <c r="W799" s="21"/>
      <c r="Y799" s="21"/>
      <c r="AA799" s="21"/>
      <c r="AC799" s="21"/>
      <c r="AE799" s="21"/>
      <c r="AG799" s="21"/>
      <c r="AI799" s="21"/>
      <c r="AK799" s="21"/>
      <c r="AM799" s="21"/>
      <c r="AN799" s="21"/>
    </row>
    <row r="800">
      <c r="A800" s="21"/>
      <c r="B800" s="21"/>
      <c r="D800" s="21"/>
      <c r="F800" s="21"/>
      <c r="G800" s="21"/>
      <c r="I800" s="21"/>
      <c r="K800" s="21"/>
      <c r="M800" s="21"/>
      <c r="O800" s="21"/>
      <c r="Q800" s="21"/>
      <c r="S800" s="21"/>
      <c r="U800" s="21"/>
      <c r="W800" s="21"/>
      <c r="Y800" s="21"/>
      <c r="AA800" s="21"/>
      <c r="AC800" s="21"/>
      <c r="AE800" s="21"/>
      <c r="AG800" s="21"/>
      <c r="AI800" s="21"/>
      <c r="AK800" s="21"/>
      <c r="AM800" s="21"/>
      <c r="AN800" s="21"/>
    </row>
    <row r="801">
      <c r="A801" s="21"/>
      <c r="B801" s="21"/>
      <c r="D801" s="21"/>
      <c r="F801" s="21"/>
      <c r="G801" s="21"/>
      <c r="I801" s="21"/>
      <c r="K801" s="21"/>
      <c r="M801" s="21"/>
      <c r="O801" s="21"/>
      <c r="Q801" s="21"/>
      <c r="S801" s="21"/>
      <c r="U801" s="21"/>
      <c r="W801" s="21"/>
      <c r="Y801" s="21"/>
      <c r="AA801" s="21"/>
      <c r="AC801" s="21"/>
      <c r="AE801" s="21"/>
      <c r="AG801" s="21"/>
      <c r="AI801" s="21"/>
      <c r="AK801" s="21"/>
      <c r="AM801" s="21"/>
      <c r="AN801" s="21"/>
    </row>
    <row r="802">
      <c r="A802" s="21"/>
      <c r="B802" s="21"/>
      <c r="D802" s="21"/>
      <c r="F802" s="21"/>
      <c r="G802" s="21"/>
      <c r="I802" s="21"/>
      <c r="K802" s="21"/>
      <c r="M802" s="21"/>
      <c r="O802" s="21"/>
      <c r="Q802" s="21"/>
      <c r="S802" s="21"/>
      <c r="U802" s="21"/>
      <c r="W802" s="21"/>
      <c r="Y802" s="21"/>
      <c r="AA802" s="21"/>
      <c r="AC802" s="21"/>
      <c r="AE802" s="21"/>
      <c r="AG802" s="21"/>
      <c r="AI802" s="21"/>
      <c r="AK802" s="21"/>
      <c r="AM802" s="21"/>
      <c r="AN802" s="21"/>
    </row>
    <row r="803">
      <c r="A803" s="21"/>
      <c r="B803" s="21"/>
      <c r="D803" s="21"/>
      <c r="F803" s="21"/>
      <c r="G803" s="21"/>
      <c r="I803" s="21"/>
      <c r="K803" s="21"/>
      <c r="M803" s="21"/>
      <c r="O803" s="21"/>
      <c r="Q803" s="21"/>
      <c r="S803" s="21"/>
      <c r="U803" s="21"/>
      <c r="W803" s="21"/>
      <c r="Y803" s="21"/>
      <c r="AA803" s="21"/>
      <c r="AC803" s="21"/>
      <c r="AE803" s="21"/>
      <c r="AG803" s="21"/>
      <c r="AI803" s="21"/>
      <c r="AK803" s="21"/>
      <c r="AM803" s="21"/>
      <c r="AN803" s="21"/>
    </row>
    <row r="804">
      <c r="A804" s="21"/>
      <c r="B804" s="21"/>
      <c r="D804" s="21"/>
      <c r="F804" s="21"/>
      <c r="G804" s="21"/>
      <c r="I804" s="21"/>
      <c r="K804" s="21"/>
      <c r="M804" s="21"/>
      <c r="O804" s="21"/>
      <c r="Q804" s="21"/>
      <c r="S804" s="21"/>
      <c r="U804" s="21"/>
      <c r="W804" s="21"/>
      <c r="Y804" s="21"/>
      <c r="AA804" s="21"/>
      <c r="AC804" s="21"/>
      <c r="AE804" s="21"/>
      <c r="AG804" s="21"/>
      <c r="AI804" s="21"/>
      <c r="AK804" s="21"/>
      <c r="AM804" s="21"/>
      <c r="AN804" s="21"/>
    </row>
    <row r="805">
      <c r="A805" s="21"/>
      <c r="B805" s="21"/>
      <c r="D805" s="21"/>
      <c r="F805" s="21"/>
      <c r="G805" s="21"/>
      <c r="I805" s="21"/>
      <c r="K805" s="21"/>
      <c r="M805" s="21"/>
      <c r="O805" s="21"/>
      <c r="Q805" s="21"/>
      <c r="S805" s="21"/>
      <c r="U805" s="21"/>
      <c r="W805" s="21"/>
      <c r="Y805" s="21"/>
      <c r="AA805" s="21"/>
      <c r="AC805" s="21"/>
      <c r="AE805" s="21"/>
      <c r="AG805" s="21"/>
      <c r="AI805" s="21"/>
      <c r="AK805" s="21"/>
      <c r="AM805" s="21"/>
      <c r="AN805" s="21"/>
    </row>
    <row r="806">
      <c r="A806" s="21"/>
      <c r="B806" s="21"/>
      <c r="D806" s="21"/>
      <c r="F806" s="21"/>
      <c r="G806" s="21"/>
      <c r="I806" s="21"/>
      <c r="K806" s="21"/>
      <c r="M806" s="21"/>
      <c r="O806" s="21"/>
      <c r="Q806" s="21"/>
      <c r="S806" s="21"/>
      <c r="U806" s="21"/>
      <c r="W806" s="21"/>
      <c r="Y806" s="21"/>
      <c r="AA806" s="21"/>
      <c r="AC806" s="21"/>
      <c r="AE806" s="21"/>
      <c r="AG806" s="21"/>
      <c r="AI806" s="21"/>
      <c r="AK806" s="21"/>
      <c r="AM806" s="21"/>
      <c r="AN806" s="21"/>
    </row>
    <row r="807">
      <c r="A807" s="21"/>
      <c r="B807" s="21"/>
      <c r="D807" s="21"/>
      <c r="F807" s="21"/>
      <c r="G807" s="21"/>
      <c r="I807" s="21"/>
      <c r="K807" s="21"/>
      <c r="M807" s="21"/>
      <c r="O807" s="21"/>
      <c r="Q807" s="21"/>
      <c r="S807" s="21"/>
      <c r="U807" s="21"/>
      <c r="W807" s="21"/>
      <c r="Y807" s="21"/>
      <c r="AA807" s="21"/>
      <c r="AC807" s="21"/>
      <c r="AE807" s="21"/>
      <c r="AG807" s="21"/>
      <c r="AI807" s="21"/>
      <c r="AK807" s="21"/>
      <c r="AM807" s="21"/>
      <c r="AN807" s="21"/>
    </row>
    <row r="808">
      <c r="A808" s="21"/>
      <c r="B808" s="21"/>
      <c r="D808" s="21"/>
      <c r="F808" s="21"/>
      <c r="G808" s="21"/>
      <c r="I808" s="21"/>
      <c r="K808" s="21"/>
      <c r="M808" s="21"/>
      <c r="O808" s="21"/>
      <c r="Q808" s="21"/>
      <c r="S808" s="21"/>
      <c r="U808" s="21"/>
      <c r="W808" s="21"/>
      <c r="Y808" s="21"/>
      <c r="AA808" s="21"/>
      <c r="AC808" s="21"/>
      <c r="AE808" s="21"/>
      <c r="AG808" s="21"/>
      <c r="AI808" s="21"/>
      <c r="AK808" s="21"/>
      <c r="AM808" s="21"/>
      <c r="AN808" s="21"/>
    </row>
    <row r="809">
      <c r="A809" s="21"/>
      <c r="B809" s="21"/>
      <c r="D809" s="21"/>
      <c r="F809" s="21"/>
      <c r="G809" s="21"/>
      <c r="I809" s="21"/>
      <c r="K809" s="21"/>
      <c r="M809" s="21"/>
      <c r="O809" s="21"/>
      <c r="Q809" s="21"/>
      <c r="S809" s="21"/>
      <c r="U809" s="21"/>
      <c r="W809" s="21"/>
      <c r="Y809" s="21"/>
      <c r="AA809" s="21"/>
      <c r="AC809" s="21"/>
      <c r="AE809" s="21"/>
      <c r="AG809" s="21"/>
      <c r="AI809" s="21"/>
      <c r="AK809" s="21"/>
      <c r="AM809" s="21"/>
      <c r="AN809" s="21"/>
    </row>
    <row r="810">
      <c r="A810" s="21"/>
      <c r="B810" s="21"/>
      <c r="D810" s="21"/>
      <c r="F810" s="21"/>
      <c r="G810" s="21"/>
      <c r="I810" s="21"/>
      <c r="K810" s="21"/>
      <c r="M810" s="21"/>
      <c r="O810" s="21"/>
      <c r="Q810" s="21"/>
      <c r="S810" s="21"/>
      <c r="U810" s="21"/>
      <c r="W810" s="21"/>
      <c r="Y810" s="21"/>
      <c r="AA810" s="21"/>
      <c r="AC810" s="21"/>
      <c r="AE810" s="21"/>
      <c r="AG810" s="21"/>
      <c r="AI810" s="21"/>
      <c r="AK810" s="21"/>
      <c r="AM810" s="21"/>
      <c r="AN810" s="21"/>
    </row>
    <row r="811">
      <c r="A811" s="21"/>
      <c r="B811" s="21"/>
      <c r="D811" s="21"/>
      <c r="F811" s="21"/>
      <c r="G811" s="21"/>
      <c r="I811" s="21"/>
      <c r="K811" s="21"/>
      <c r="M811" s="21"/>
      <c r="O811" s="21"/>
      <c r="Q811" s="21"/>
      <c r="S811" s="21"/>
      <c r="U811" s="21"/>
      <c r="W811" s="21"/>
      <c r="Y811" s="21"/>
      <c r="AA811" s="21"/>
      <c r="AC811" s="21"/>
      <c r="AE811" s="21"/>
      <c r="AG811" s="21"/>
      <c r="AI811" s="21"/>
      <c r="AK811" s="21"/>
      <c r="AM811" s="21"/>
      <c r="AN811" s="21"/>
    </row>
    <row r="812">
      <c r="A812" s="21"/>
      <c r="B812" s="21"/>
      <c r="D812" s="21"/>
      <c r="F812" s="21"/>
      <c r="G812" s="21"/>
      <c r="I812" s="21"/>
      <c r="K812" s="21"/>
      <c r="M812" s="21"/>
      <c r="O812" s="21"/>
      <c r="Q812" s="21"/>
      <c r="S812" s="21"/>
      <c r="U812" s="21"/>
      <c r="W812" s="21"/>
      <c r="Y812" s="21"/>
      <c r="AA812" s="21"/>
      <c r="AC812" s="21"/>
      <c r="AE812" s="21"/>
      <c r="AG812" s="21"/>
      <c r="AI812" s="21"/>
      <c r="AK812" s="21"/>
      <c r="AM812" s="21"/>
      <c r="AN812" s="21"/>
    </row>
    <row r="813">
      <c r="A813" s="21"/>
      <c r="B813" s="21"/>
      <c r="D813" s="21"/>
      <c r="F813" s="21"/>
      <c r="G813" s="21"/>
      <c r="I813" s="21"/>
      <c r="K813" s="21"/>
      <c r="M813" s="21"/>
      <c r="O813" s="21"/>
      <c r="Q813" s="21"/>
      <c r="S813" s="21"/>
      <c r="U813" s="21"/>
      <c r="W813" s="21"/>
      <c r="Y813" s="21"/>
      <c r="AA813" s="21"/>
      <c r="AC813" s="21"/>
      <c r="AE813" s="21"/>
      <c r="AG813" s="21"/>
      <c r="AI813" s="21"/>
      <c r="AK813" s="21"/>
      <c r="AM813" s="21"/>
      <c r="AN813" s="21"/>
    </row>
    <row r="814">
      <c r="A814" s="21"/>
      <c r="B814" s="21"/>
      <c r="D814" s="21"/>
      <c r="F814" s="21"/>
      <c r="G814" s="21"/>
      <c r="I814" s="21"/>
      <c r="K814" s="21"/>
      <c r="M814" s="21"/>
      <c r="O814" s="21"/>
      <c r="Q814" s="21"/>
      <c r="S814" s="21"/>
      <c r="U814" s="21"/>
      <c r="W814" s="21"/>
      <c r="Y814" s="21"/>
      <c r="AA814" s="21"/>
      <c r="AC814" s="21"/>
      <c r="AE814" s="21"/>
      <c r="AG814" s="21"/>
      <c r="AI814" s="21"/>
      <c r="AK814" s="21"/>
      <c r="AM814" s="21"/>
      <c r="AN814" s="21"/>
    </row>
    <row r="815">
      <c r="A815" s="21"/>
      <c r="B815" s="21"/>
      <c r="D815" s="21"/>
      <c r="F815" s="21"/>
      <c r="G815" s="21"/>
      <c r="I815" s="21"/>
      <c r="K815" s="21"/>
      <c r="M815" s="21"/>
      <c r="O815" s="21"/>
      <c r="Q815" s="21"/>
      <c r="S815" s="21"/>
      <c r="U815" s="21"/>
      <c r="W815" s="21"/>
      <c r="Y815" s="21"/>
      <c r="AA815" s="21"/>
      <c r="AC815" s="21"/>
      <c r="AE815" s="21"/>
      <c r="AG815" s="21"/>
      <c r="AI815" s="21"/>
      <c r="AK815" s="21"/>
      <c r="AM815" s="21"/>
      <c r="AN815" s="21"/>
    </row>
    <row r="816">
      <c r="A816" s="21"/>
      <c r="B816" s="21"/>
      <c r="D816" s="21"/>
      <c r="F816" s="21"/>
      <c r="G816" s="21"/>
      <c r="I816" s="21"/>
      <c r="K816" s="21"/>
      <c r="M816" s="21"/>
      <c r="O816" s="21"/>
      <c r="Q816" s="21"/>
      <c r="S816" s="21"/>
      <c r="U816" s="21"/>
      <c r="W816" s="21"/>
      <c r="Y816" s="21"/>
      <c r="AA816" s="21"/>
      <c r="AC816" s="21"/>
      <c r="AE816" s="21"/>
      <c r="AG816" s="21"/>
      <c r="AI816" s="21"/>
      <c r="AK816" s="21"/>
      <c r="AM816" s="21"/>
      <c r="AN816" s="21"/>
    </row>
    <row r="817">
      <c r="A817" s="21"/>
      <c r="B817" s="21"/>
      <c r="D817" s="21"/>
      <c r="F817" s="21"/>
      <c r="G817" s="21"/>
      <c r="I817" s="21"/>
      <c r="K817" s="21"/>
      <c r="M817" s="21"/>
      <c r="O817" s="21"/>
      <c r="Q817" s="21"/>
      <c r="S817" s="21"/>
      <c r="U817" s="21"/>
      <c r="W817" s="21"/>
      <c r="Y817" s="21"/>
      <c r="AA817" s="21"/>
      <c r="AC817" s="21"/>
      <c r="AE817" s="21"/>
      <c r="AG817" s="21"/>
      <c r="AI817" s="21"/>
      <c r="AK817" s="21"/>
      <c r="AM817" s="21"/>
      <c r="AN817" s="21"/>
    </row>
    <row r="818">
      <c r="A818" s="21"/>
      <c r="B818" s="21"/>
      <c r="D818" s="21"/>
      <c r="F818" s="21"/>
      <c r="G818" s="21"/>
      <c r="I818" s="21"/>
      <c r="K818" s="21"/>
      <c r="M818" s="21"/>
      <c r="O818" s="21"/>
      <c r="Q818" s="21"/>
      <c r="S818" s="21"/>
      <c r="U818" s="21"/>
      <c r="W818" s="21"/>
      <c r="Y818" s="21"/>
      <c r="AA818" s="21"/>
      <c r="AC818" s="21"/>
      <c r="AE818" s="21"/>
      <c r="AG818" s="21"/>
      <c r="AI818" s="21"/>
      <c r="AK818" s="21"/>
      <c r="AM818" s="21"/>
      <c r="AN818" s="21"/>
    </row>
    <row r="819">
      <c r="A819" s="21"/>
      <c r="B819" s="21"/>
      <c r="D819" s="21"/>
      <c r="F819" s="21"/>
      <c r="G819" s="21"/>
      <c r="I819" s="21"/>
      <c r="K819" s="21"/>
      <c r="M819" s="21"/>
      <c r="O819" s="21"/>
      <c r="Q819" s="21"/>
      <c r="S819" s="21"/>
      <c r="U819" s="21"/>
      <c r="W819" s="21"/>
      <c r="Y819" s="21"/>
      <c r="AA819" s="21"/>
      <c r="AC819" s="21"/>
      <c r="AE819" s="21"/>
      <c r="AG819" s="21"/>
      <c r="AI819" s="21"/>
      <c r="AK819" s="21"/>
      <c r="AM819" s="21"/>
      <c r="AN819" s="21"/>
    </row>
    <row r="820">
      <c r="A820" s="21"/>
      <c r="B820" s="21"/>
      <c r="D820" s="21"/>
      <c r="F820" s="21"/>
      <c r="G820" s="21"/>
      <c r="I820" s="21"/>
      <c r="K820" s="21"/>
      <c r="M820" s="21"/>
      <c r="O820" s="21"/>
      <c r="Q820" s="21"/>
      <c r="S820" s="21"/>
      <c r="U820" s="21"/>
      <c r="W820" s="21"/>
      <c r="Y820" s="21"/>
      <c r="AA820" s="21"/>
      <c r="AC820" s="21"/>
      <c r="AE820" s="21"/>
      <c r="AG820" s="21"/>
      <c r="AI820" s="21"/>
      <c r="AK820" s="21"/>
      <c r="AM820" s="21"/>
      <c r="AN820" s="21"/>
    </row>
    <row r="821">
      <c r="A821" s="21"/>
      <c r="B821" s="21"/>
      <c r="D821" s="21"/>
      <c r="F821" s="21"/>
      <c r="G821" s="21"/>
      <c r="I821" s="21"/>
      <c r="K821" s="21"/>
      <c r="M821" s="21"/>
      <c r="O821" s="21"/>
      <c r="Q821" s="21"/>
      <c r="S821" s="21"/>
      <c r="U821" s="21"/>
      <c r="W821" s="21"/>
      <c r="Y821" s="21"/>
      <c r="AA821" s="21"/>
      <c r="AC821" s="21"/>
      <c r="AE821" s="21"/>
      <c r="AG821" s="21"/>
      <c r="AI821" s="21"/>
      <c r="AK821" s="21"/>
      <c r="AM821" s="21"/>
      <c r="AN821" s="21"/>
    </row>
    <row r="822">
      <c r="A822" s="21"/>
      <c r="B822" s="21"/>
      <c r="D822" s="21"/>
      <c r="F822" s="21"/>
      <c r="G822" s="21"/>
      <c r="I822" s="21"/>
      <c r="K822" s="21"/>
      <c r="M822" s="21"/>
      <c r="O822" s="21"/>
      <c r="Q822" s="21"/>
      <c r="S822" s="21"/>
      <c r="U822" s="21"/>
      <c r="W822" s="21"/>
      <c r="Y822" s="21"/>
      <c r="AA822" s="21"/>
      <c r="AC822" s="21"/>
      <c r="AE822" s="21"/>
      <c r="AG822" s="21"/>
      <c r="AI822" s="21"/>
      <c r="AK822" s="21"/>
      <c r="AM822" s="21"/>
      <c r="AN822" s="21"/>
    </row>
    <row r="823">
      <c r="A823" s="21"/>
      <c r="B823" s="21"/>
      <c r="D823" s="21"/>
      <c r="F823" s="21"/>
      <c r="G823" s="21"/>
      <c r="I823" s="21"/>
      <c r="K823" s="21"/>
      <c r="M823" s="21"/>
      <c r="O823" s="21"/>
      <c r="Q823" s="21"/>
      <c r="S823" s="21"/>
      <c r="U823" s="21"/>
      <c r="W823" s="21"/>
      <c r="Y823" s="21"/>
      <c r="AA823" s="21"/>
      <c r="AC823" s="21"/>
      <c r="AE823" s="21"/>
      <c r="AG823" s="21"/>
      <c r="AI823" s="21"/>
      <c r="AK823" s="21"/>
      <c r="AM823" s="21"/>
      <c r="AN823" s="21"/>
    </row>
    <row r="824">
      <c r="A824" s="21"/>
      <c r="B824" s="21"/>
      <c r="D824" s="21"/>
      <c r="F824" s="21"/>
      <c r="G824" s="21"/>
      <c r="I824" s="21"/>
      <c r="K824" s="21"/>
      <c r="M824" s="21"/>
      <c r="O824" s="21"/>
      <c r="Q824" s="21"/>
      <c r="S824" s="21"/>
      <c r="U824" s="21"/>
      <c r="W824" s="21"/>
      <c r="Y824" s="21"/>
      <c r="AA824" s="21"/>
      <c r="AC824" s="21"/>
      <c r="AE824" s="21"/>
      <c r="AG824" s="21"/>
      <c r="AI824" s="21"/>
      <c r="AK824" s="21"/>
      <c r="AM824" s="21"/>
      <c r="AN824" s="21"/>
    </row>
    <row r="825">
      <c r="A825" s="21"/>
      <c r="B825" s="21"/>
      <c r="D825" s="21"/>
      <c r="F825" s="21"/>
      <c r="G825" s="21"/>
      <c r="I825" s="21"/>
      <c r="K825" s="21"/>
      <c r="M825" s="21"/>
      <c r="O825" s="21"/>
      <c r="Q825" s="21"/>
      <c r="S825" s="21"/>
      <c r="U825" s="21"/>
      <c r="W825" s="21"/>
      <c r="Y825" s="21"/>
      <c r="AA825" s="21"/>
      <c r="AC825" s="21"/>
      <c r="AE825" s="21"/>
      <c r="AG825" s="21"/>
      <c r="AI825" s="21"/>
      <c r="AK825" s="21"/>
      <c r="AM825" s="21"/>
      <c r="AN825" s="21"/>
    </row>
    <row r="826">
      <c r="A826" s="21"/>
      <c r="B826" s="21"/>
      <c r="D826" s="21"/>
      <c r="F826" s="21"/>
      <c r="G826" s="21"/>
      <c r="I826" s="21"/>
      <c r="K826" s="21"/>
      <c r="M826" s="21"/>
      <c r="O826" s="21"/>
      <c r="Q826" s="21"/>
      <c r="S826" s="21"/>
      <c r="U826" s="21"/>
      <c r="W826" s="21"/>
      <c r="Y826" s="21"/>
      <c r="AA826" s="21"/>
      <c r="AC826" s="21"/>
      <c r="AE826" s="21"/>
      <c r="AG826" s="21"/>
      <c r="AI826" s="21"/>
      <c r="AK826" s="21"/>
      <c r="AM826" s="21"/>
      <c r="AN826" s="21"/>
    </row>
    <row r="827">
      <c r="A827" s="21"/>
      <c r="B827" s="21"/>
      <c r="D827" s="21"/>
      <c r="F827" s="21"/>
      <c r="G827" s="21"/>
      <c r="I827" s="21"/>
      <c r="K827" s="21"/>
      <c r="M827" s="21"/>
      <c r="O827" s="21"/>
      <c r="Q827" s="21"/>
      <c r="S827" s="21"/>
      <c r="U827" s="21"/>
      <c r="W827" s="21"/>
      <c r="Y827" s="21"/>
      <c r="AA827" s="21"/>
      <c r="AC827" s="21"/>
      <c r="AE827" s="21"/>
      <c r="AG827" s="21"/>
      <c r="AI827" s="21"/>
      <c r="AK827" s="21"/>
      <c r="AM827" s="21"/>
      <c r="AN827" s="21"/>
    </row>
    <row r="828">
      <c r="A828" s="21"/>
      <c r="B828" s="21"/>
      <c r="D828" s="21"/>
      <c r="F828" s="21"/>
      <c r="G828" s="21"/>
      <c r="I828" s="21"/>
      <c r="K828" s="21"/>
      <c r="M828" s="21"/>
      <c r="O828" s="21"/>
      <c r="Q828" s="21"/>
      <c r="S828" s="21"/>
      <c r="U828" s="21"/>
      <c r="W828" s="21"/>
      <c r="Y828" s="21"/>
      <c r="AA828" s="21"/>
      <c r="AC828" s="21"/>
      <c r="AE828" s="21"/>
      <c r="AG828" s="21"/>
      <c r="AI828" s="21"/>
      <c r="AK828" s="21"/>
      <c r="AM828" s="21"/>
      <c r="AN828" s="21"/>
    </row>
    <row r="829">
      <c r="A829" s="21"/>
      <c r="B829" s="21"/>
      <c r="D829" s="21"/>
      <c r="F829" s="21"/>
      <c r="G829" s="21"/>
      <c r="I829" s="21"/>
      <c r="K829" s="21"/>
      <c r="M829" s="21"/>
      <c r="O829" s="21"/>
      <c r="Q829" s="21"/>
      <c r="S829" s="21"/>
      <c r="U829" s="21"/>
      <c r="W829" s="21"/>
      <c r="Y829" s="21"/>
      <c r="AA829" s="21"/>
      <c r="AC829" s="21"/>
      <c r="AE829" s="21"/>
      <c r="AG829" s="21"/>
      <c r="AI829" s="21"/>
      <c r="AK829" s="21"/>
      <c r="AM829" s="21"/>
      <c r="AN829" s="21"/>
    </row>
    <row r="830">
      <c r="A830" s="21"/>
      <c r="B830" s="21"/>
      <c r="D830" s="21"/>
      <c r="F830" s="21"/>
      <c r="G830" s="21"/>
      <c r="I830" s="21"/>
      <c r="K830" s="21"/>
      <c r="M830" s="21"/>
      <c r="O830" s="21"/>
      <c r="Q830" s="21"/>
      <c r="S830" s="21"/>
      <c r="U830" s="21"/>
      <c r="W830" s="21"/>
      <c r="Y830" s="21"/>
      <c r="AA830" s="21"/>
      <c r="AC830" s="21"/>
      <c r="AE830" s="21"/>
      <c r="AG830" s="21"/>
      <c r="AI830" s="21"/>
      <c r="AK830" s="21"/>
      <c r="AM830" s="21"/>
      <c r="AN830" s="21"/>
    </row>
    <row r="831">
      <c r="A831" s="21"/>
      <c r="B831" s="21"/>
      <c r="D831" s="21"/>
      <c r="F831" s="21"/>
      <c r="G831" s="21"/>
      <c r="I831" s="21"/>
      <c r="K831" s="21"/>
      <c r="M831" s="21"/>
      <c r="O831" s="21"/>
      <c r="Q831" s="21"/>
      <c r="S831" s="21"/>
      <c r="U831" s="21"/>
      <c r="W831" s="21"/>
      <c r="Y831" s="21"/>
      <c r="AA831" s="21"/>
      <c r="AC831" s="21"/>
      <c r="AE831" s="21"/>
      <c r="AG831" s="21"/>
      <c r="AI831" s="21"/>
      <c r="AK831" s="21"/>
      <c r="AM831" s="21"/>
      <c r="AN831" s="21"/>
    </row>
    <row r="832">
      <c r="A832" s="21"/>
      <c r="B832" s="21"/>
      <c r="D832" s="21"/>
      <c r="F832" s="21"/>
      <c r="G832" s="21"/>
      <c r="I832" s="21"/>
      <c r="K832" s="21"/>
      <c r="M832" s="21"/>
      <c r="O832" s="21"/>
      <c r="Q832" s="21"/>
      <c r="S832" s="21"/>
      <c r="U832" s="21"/>
      <c r="W832" s="21"/>
      <c r="Y832" s="21"/>
      <c r="AA832" s="21"/>
      <c r="AC832" s="21"/>
      <c r="AE832" s="21"/>
      <c r="AG832" s="21"/>
      <c r="AI832" s="21"/>
      <c r="AK832" s="21"/>
      <c r="AM832" s="21"/>
      <c r="AN832" s="21"/>
    </row>
    <row r="833">
      <c r="A833" s="21"/>
      <c r="B833" s="21"/>
      <c r="D833" s="21"/>
      <c r="F833" s="21"/>
      <c r="G833" s="21"/>
      <c r="I833" s="21"/>
      <c r="K833" s="21"/>
      <c r="M833" s="21"/>
      <c r="O833" s="21"/>
      <c r="Q833" s="21"/>
      <c r="S833" s="21"/>
      <c r="U833" s="21"/>
      <c r="W833" s="21"/>
      <c r="Y833" s="21"/>
      <c r="AA833" s="21"/>
      <c r="AC833" s="21"/>
      <c r="AE833" s="21"/>
      <c r="AG833" s="21"/>
      <c r="AI833" s="21"/>
      <c r="AK833" s="21"/>
      <c r="AM833" s="21"/>
      <c r="AN833" s="21"/>
    </row>
    <row r="834">
      <c r="A834" s="21"/>
      <c r="B834" s="21"/>
      <c r="D834" s="21"/>
      <c r="F834" s="21"/>
      <c r="G834" s="21"/>
      <c r="I834" s="21"/>
      <c r="K834" s="21"/>
      <c r="M834" s="21"/>
      <c r="O834" s="21"/>
      <c r="Q834" s="21"/>
      <c r="S834" s="21"/>
      <c r="U834" s="21"/>
      <c r="W834" s="21"/>
      <c r="Y834" s="21"/>
      <c r="AA834" s="21"/>
      <c r="AC834" s="21"/>
      <c r="AE834" s="21"/>
      <c r="AG834" s="21"/>
      <c r="AI834" s="21"/>
      <c r="AK834" s="21"/>
      <c r="AM834" s="21"/>
      <c r="AN834" s="21"/>
    </row>
    <row r="835">
      <c r="A835" s="21"/>
      <c r="B835" s="21"/>
      <c r="D835" s="21"/>
      <c r="F835" s="21"/>
      <c r="G835" s="21"/>
      <c r="I835" s="21"/>
      <c r="K835" s="21"/>
      <c r="M835" s="21"/>
      <c r="O835" s="21"/>
      <c r="Q835" s="21"/>
      <c r="S835" s="21"/>
      <c r="U835" s="21"/>
      <c r="W835" s="21"/>
      <c r="Y835" s="21"/>
      <c r="AA835" s="21"/>
      <c r="AC835" s="21"/>
      <c r="AE835" s="21"/>
      <c r="AG835" s="21"/>
      <c r="AI835" s="21"/>
      <c r="AK835" s="21"/>
      <c r="AM835" s="21"/>
      <c r="AN835" s="21"/>
    </row>
    <row r="836">
      <c r="A836" s="21"/>
      <c r="B836" s="21"/>
      <c r="D836" s="21"/>
      <c r="F836" s="21"/>
      <c r="G836" s="21"/>
      <c r="I836" s="21"/>
      <c r="K836" s="21"/>
      <c r="M836" s="21"/>
      <c r="O836" s="21"/>
      <c r="Q836" s="21"/>
      <c r="S836" s="21"/>
      <c r="U836" s="21"/>
      <c r="W836" s="21"/>
      <c r="Y836" s="21"/>
      <c r="AA836" s="21"/>
      <c r="AC836" s="21"/>
      <c r="AE836" s="21"/>
      <c r="AG836" s="21"/>
      <c r="AI836" s="21"/>
      <c r="AK836" s="21"/>
      <c r="AM836" s="21"/>
      <c r="AN836" s="21"/>
    </row>
    <row r="837">
      <c r="A837" s="21"/>
      <c r="B837" s="21"/>
      <c r="D837" s="21"/>
      <c r="F837" s="21"/>
      <c r="G837" s="21"/>
      <c r="I837" s="21"/>
      <c r="K837" s="21"/>
      <c r="M837" s="21"/>
      <c r="O837" s="21"/>
      <c r="Q837" s="21"/>
      <c r="S837" s="21"/>
      <c r="U837" s="21"/>
      <c r="W837" s="21"/>
      <c r="Y837" s="21"/>
      <c r="AA837" s="21"/>
      <c r="AC837" s="21"/>
      <c r="AE837" s="21"/>
      <c r="AG837" s="21"/>
      <c r="AI837" s="21"/>
      <c r="AK837" s="21"/>
      <c r="AM837" s="21"/>
      <c r="AN837" s="21"/>
    </row>
    <row r="838">
      <c r="A838" s="21"/>
      <c r="B838" s="21"/>
      <c r="D838" s="21"/>
      <c r="F838" s="21"/>
      <c r="G838" s="21"/>
      <c r="I838" s="21"/>
      <c r="K838" s="21"/>
      <c r="M838" s="21"/>
      <c r="O838" s="21"/>
      <c r="Q838" s="21"/>
      <c r="S838" s="21"/>
      <c r="U838" s="21"/>
      <c r="W838" s="21"/>
      <c r="Y838" s="21"/>
      <c r="AA838" s="21"/>
      <c r="AC838" s="21"/>
      <c r="AE838" s="21"/>
      <c r="AG838" s="21"/>
      <c r="AI838" s="21"/>
      <c r="AK838" s="21"/>
      <c r="AM838" s="21"/>
      <c r="AN838" s="21"/>
    </row>
    <row r="839">
      <c r="A839" s="21"/>
      <c r="B839" s="21"/>
      <c r="D839" s="21"/>
      <c r="F839" s="21"/>
      <c r="G839" s="21"/>
      <c r="I839" s="21"/>
      <c r="K839" s="21"/>
      <c r="M839" s="21"/>
      <c r="O839" s="21"/>
      <c r="Q839" s="21"/>
      <c r="S839" s="21"/>
      <c r="U839" s="21"/>
      <c r="W839" s="21"/>
      <c r="Y839" s="21"/>
      <c r="AA839" s="21"/>
      <c r="AC839" s="21"/>
      <c r="AE839" s="21"/>
      <c r="AG839" s="21"/>
      <c r="AI839" s="21"/>
      <c r="AK839" s="21"/>
      <c r="AM839" s="21"/>
      <c r="AN839" s="21"/>
    </row>
    <row r="840">
      <c r="A840" s="21"/>
      <c r="B840" s="21"/>
      <c r="D840" s="21"/>
      <c r="F840" s="21"/>
      <c r="G840" s="21"/>
      <c r="I840" s="21"/>
      <c r="K840" s="21"/>
      <c r="M840" s="21"/>
      <c r="O840" s="21"/>
      <c r="Q840" s="21"/>
      <c r="S840" s="21"/>
      <c r="U840" s="21"/>
      <c r="W840" s="21"/>
      <c r="Y840" s="21"/>
      <c r="AA840" s="21"/>
      <c r="AC840" s="21"/>
      <c r="AE840" s="21"/>
      <c r="AG840" s="21"/>
      <c r="AI840" s="21"/>
      <c r="AK840" s="21"/>
      <c r="AM840" s="21"/>
      <c r="AN840" s="21"/>
    </row>
    <row r="841">
      <c r="A841" s="21"/>
      <c r="B841" s="21"/>
      <c r="D841" s="21"/>
      <c r="F841" s="21"/>
      <c r="G841" s="21"/>
      <c r="I841" s="21"/>
      <c r="K841" s="21"/>
      <c r="M841" s="21"/>
      <c r="O841" s="21"/>
      <c r="Q841" s="21"/>
      <c r="S841" s="21"/>
      <c r="U841" s="21"/>
      <c r="W841" s="21"/>
      <c r="Y841" s="21"/>
      <c r="AA841" s="21"/>
      <c r="AC841" s="21"/>
      <c r="AE841" s="21"/>
      <c r="AG841" s="21"/>
      <c r="AI841" s="21"/>
      <c r="AK841" s="21"/>
      <c r="AM841" s="21"/>
      <c r="AN841" s="21"/>
    </row>
    <row r="842">
      <c r="A842" s="21"/>
      <c r="B842" s="21"/>
      <c r="D842" s="21"/>
      <c r="F842" s="21"/>
      <c r="G842" s="21"/>
      <c r="I842" s="21"/>
      <c r="K842" s="21"/>
      <c r="M842" s="21"/>
      <c r="O842" s="21"/>
      <c r="Q842" s="21"/>
      <c r="S842" s="21"/>
      <c r="U842" s="21"/>
      <c r="W842" s="21"/>
      <c r="Y842" s="21"/>
      <c r="AA842" s="21"/>
      <c r="AC842" s="21"/>
      <c r="AE842" s="21"/>
      <c r="AG842" s="21"/>
      <c r="AI842" s="21"/>
      <c r="AK842" s="21"/>
      <c r="AM842" s="21"/>
      <c r="AN842" s="21"/>
    </row>
    <row r="843">
      <c r="A843" s="21"/>
      <c r="B843" s="21"/>
      <c r="D843" s="21"/>
      <c r="F843" s="21"/>
      <c r="G843" s="21"/>
      <c r="I843" s="21"/>
      <c r="K843" s="21"/>
      <c r="M843" s="21"/>
      <c r="O843" s="21"/>
      <c r="Q843" s="21"/>
      <c r="S843" s="21"/>
      <c r="U843" s="21"/>
      <c r="W843" s="21"/>
      <c r="Y843" s="21"/>
      <c r="AA843" s="21"/>
      <c r="AC843" s="21"/>
      <c r="AE843" s="21"/>
      <c r="AG843" s="21"/>
      <c r="AI843" s="21"/>
      <c r="AK843" s="21"/>
      <c r="AM843" s="21"/>
      <c r="AN843" s="21"/>
    </row>
    <row r="844">
      <c r="A844" s="21"/>
      <c r="B844" s="21"/>
      <c r="D844" s="21"/>
      <c r="F844" s="21"/>
      <c r="G844" s="21"/>
      <c r="I844" s="21"/>
      <c r="K844" s="21"/>
      <c r="M844" s="21"/>
      <c r="O844" s="21"/>
      <c r="Q844" s="21"/>
      <c r="S844" s="21"/>
      <c r="U844" s="21"/>
      <c r="W844" s="21"/>
      <c r="Y844" s="21"/>
      <c r="AA844" s="21"/>
      <c r="AC844" s="21"/>
      <c r="AE844" s="21"/>
      <c r="AG844" s="21"/>
      <c r="AI844" s="21"/>
      <c r="AK844" s="21"/>
      <c r="AM844" s="21"/>
      <c r="AN844" s="21"/>
    </row>
    <row r="845">
      <c r="A845" s="21"/>
      <c r="B845" s="21"/>
      <c r="D845" s="21"/>
      <c r="F845" s="21"/>
      <c r="G845" s="21"/>
      <c r="I845" s="21"/>
      <c r="K845" s="21"/>
      <c r="M845" s="21"/>
      <c r="O845" s="21"/>
      <c r="Q845" s="21"/>
      <c r="S845" s="21"/>
      <c r="U845" s="21"/>
      <c r="W845" s="21"/>
      <c r="Y845" s="21"/>
      <c r="AA845" s="21"/>
      <c r="AC845" s="21"/>
      <c r="AE845" s="21"/>
      <c r="AG845" s="21"/>
      <c r="AI845" s="21"/>
      <c r="AK845" s="21"/>
      <c r="AM845" s="21"/>
      <c r="AN845" s="21"/>
    </row>
    <row r="846">
      <c r="A846" s="21"/>
      <c r="B846" s="21"/>
      <c r="D846" s="21"/>
      <c r="F846" s="21"/>
      <c r="G846" s="21"/>
      <c r="I846" s="21"/>
      <c r="K846" s="21"/>
      <c r="M846" s="21"/>
      <c r="O846" s="21"/>
      <c r="Q846" s="21"/>
      <c r="S846" s="21"/>
      <c r="U846" s="21"/>
      <c r="W846" s="21"/>
      <c r="Y846" s="21"/>
      <c r="AA846" s="21"/>
      <c r="AC846" s="21"/>
      <c r="AE846" s="21"/>
      <c r="AG846" s="21"/>
      <c r="AI846" s="21"/>
      <c r="AK846" s="21"/>
      <c r="AM846" s="21"/>
      <c r="AN846" s="21"/>
    </row>
    <row r="847">
      <c r="A847" s="21"/>
      <c r="B847" s="21"/>
      <c r="D847" s="21"/>
      <c r="F847" s="21"/>
      <c r="G847" s="21"/>
      <c r="I847" s="21"/>
      <c r="K847" s="21"/>
      <c r="M847" s="21"/>
      <c r="O847" s="21"/>
      <c r="Q847" s="21"/>
      <c r="S847" s="21"/>
      <c r="U847" s="21"/>
      <c r="W847" s="21"/>
      <c r="Y847" s="21"/>
      <c r="AA847" s="21"/>
      <c r="AC847" s="21"/>
      <c r="AE847" s="21"/>
      <c r="AG847" s="21"/>
      <c r="AI847" s="21"/>
      <c r="AK847" s="21"/>
      <c r="AM847" s="21"/>
      <c r="AN847" s="21"/>
    </row>
    <row r="848">
      <c r="A848" s="21"/>
      <c r="B848" s="21"/>
      <c r="D848" s="21"/>
      <c r="F848" s="21"/>
      <c r="G848" s="21"/>
      <c r="I848" s="21"/>
      <c r="K848" s="21"/>
      <c r="M848" s="21"/>
      <c r="O848" s="21"/>
      <c r="Q848" s="21"/>
      <c r="S848" s="21"/>
      <c r="U848" s="21"/>
      <c r="W848" s="21"/>
      <c r="Y848" s="21"/>
      <c r="AA848" s="21"/>
      <c r="AC848" s="21"/>
      <c r="AE848" s="21"/>
      <c r="AG848" s="21"/>
      <c r="AI848" s="21"/>
      <c r="AK848" s="21"/>
      <c r="AM848" s="21"/>
      <c r="AN848" s="21"/>
    </row>
    <row r="849">
      <c r="A849" s="21"/>
      <c r="B849" s="21"/>
      <c r="D849" s="21"/>
      <c r="F849" s="21"/>
      <c r="G849" s="21"/>
      <c r="I849" s="21"/>
      <c r="K849" s="21"/>
      <c r="M849" s="21"/>
      <c r="O849" s="21"/>
      <c r="Q849" s="21"/>
      <c r="S849" s="21"/>
      <c r="U849" s="21"/>
      <c r="W849" s="21"/>
      <c r="Y849" s="21"/>
      <c r="AA849" s="21"/>
      <c r="AC849" s="21"/>
      <c r="AE849" s="21"/>
      <c r="AG849" s="21"/>
      <c r="AI849" s="21"/>
      <c r="AK849" s="21"/>
      <c r="AM849" s="21"/>
      <c r="AN849" s="21"/>
    </row>
    <row r="850">
      <c r="A850" s="21"/>
      <c r="B850" s="21"/>
      <c r="D850" s="21"/>
      <c r="F850" s="21"/>
      <c r="G850" s="21"/>
      <c r="I850" s="21"/>
      <c r="K850" s="21"/>
      <c r="M850" s="21"/>
      <c r="O850" s="21"/>
      <c r="Q850" s="21"/>
      <c r="S850" s="21"/>
      <c r="U850" s="21"/>
      <c r="W850" s="21"/>
      <c r="Y850" s="21"/>
      <c r="AA850" s="21"/>
      <c r="AC850" s="21"/>
      <c r="AE850" s="21"/>
      <c r="AG850" s="21"/>
      <c r="AI850" s="21"/>
      <c r="AK850" s="21"/>
      <c r="AM850" s="21"/>
      <c r="AN850" s="21"/>
    </row>
    <row r="851">
      <c r="A851" s="21"/>
      <c r="B851" s="21"/>
      <c r="D851" s="21"/>
      <c r="F851" s="21"/>
      <c r="G851" s="21"/>
      <c r="I851" s="21"/>
      <c r="K851" s="21"/>
      <c r="M851" s="21"/>
      <c r="O851" s="21"/>
      <c r="Q851" s="21"/>
      <c r="S851" s="21"/>
      <c r="U851" s="21"/>
      <c r="W851" s="21"/>
      <c r="Y851" s="21"/>
      <c r="AA851" s="21"/>
      <c r="AC851" s="21"/>
      <c r="AE851" s="21"/>
      <c r="AG851" s="21"/>
      <c r="AI851" s="21"/>
      <c r="AK851" s="21"/>
      <c r="AM851" s="21"/>
      <c r="AN851" s="21"/>
    </row>
    <row r="852">
      <c r="A852" s="21"/>
      <c r="B852" s="21"/>
      <c r="D852" s="21"/>
      <c r="F852" s="21"/>
      <c r="G852" s="21"/>
      <c r="I852" s="21"/>
      <c r="K852" s="21"/>
      <c r="M852" s="21"/>
      <c r="O852" s="21"/>
      <c r="Q852" s="21"/>
      <c r="S852" s="21"/>
      <c r="U852" s="21"/>
      <c r="W852" s="21"/>
      <c r="Y852" s="21"/>
      <c r="AA852" s="21"/>
      <c r="AC852" s="21"/>
      <c r="AE852" s="21"/>
      <c r="AG852" s="21"/>
      <c r="AI852" s="21"/>
      <c r="AK852" s="21"/>
      <c r="AM852" s="21"/>
      <c r="AN852" s="21"/>
    </row>
    <row r="853">
      <c r="A853" s="21"/>
      <c r="B853" s="21"/>
      <c r="D853" s="21"/>
      <c r="F853" s="21"/>
      <c r="G853" s="21"/>
      <c r="I853" s="21"/>
      <c r="K853" s="21"/>
      <c r="M853" s="21"/>
      <c r="O853" s="21"/>
      <c r="Q853" s="21"/>
      <c r="S853" s="21"/>
      <c r="U853" s="21"/>
      <c r="W853" s="21"/>
      <c r="Y853" s="21"/>
      <c r="AA853" s="21"/>
      <c r="AC853" s="21"/>
      <c r="AE853" s="21"/>
      <c r="AG853" s="21"/>
      <c r="AI853" s="21"/>
      <c r="AK853" s="21"/>
      <c r="AM853" s="21"/>
      <c r="AN853" s="21"/>
    </row>
    <row r="854">
      <c r="A854" s="21"/>
      <c r="B854" s="21"/>
      <c r="D854" s="21"/>
      <c r="F854" s="21"/>
      <c r="G854" s="21"/>
      <c r="I854" s="21"/>
      <c r="K854" s="21"/>
      <c r="M854" s="21"/>
      <c r="O854" s="21"/>
      <c r="Q854" s="21"/>
      <c r="S854" s="21"/>
      <c r="U854" s="21"/>
      <c r="W854" s="21"/>
      <c r="Y854" s="21"/>
      <c r="AA854" s="21"/>
      <c r="AC854" s="21"/>
      <c r="AE854" s="21"/>
      <c r="AG854" s="21"/>
      <c r="AI854" s="21"/>
      <c r="AK854" s="21"/>
      <c r="AM854" s="21"/>
      <c r="AN854" s="21"/>
    </row>
    <row r="855">
      <c r="A855" s="21"/>
      <c r="B855" s="21"/>
      <c r="D855" s="21"/>
      <c r="F855" s="21"/>
      <c r="G855" s="21"/>
      <c r="I855" s="21"/>
      <c r="K855" s="21"/>
      <c r="M855" s="21"/>
      <c r="O855" s="21"/>
      <c r="Q855" s="21"/>
      <c r="S855" s="21"/>
      <c r="U855" s="21"/>
      <c r="W855" s="21"/>
      <c r="Y855" s="21"/>
      <c r="AA855" s="21"/>
      <c r="AC855" s="21"/>
      <c r="AE855" s="21"/>
      <c r="AG855" s="21"/>
      <c r="AI855" s="21"/>
      <c r="AK855" s="21"/>
      <c r="AM855" s="21"/>
      <c r="AN855" s="21"/>
    </row>
    <row r="856">
      <c r="A856" s="21"/>
      <c r="B856" s="21"/>
      <c r="D856" s="21"/>
      <c r="F856" s="21"/>
      <c r="G856" s="21"/>
      <c r="I856" s="21"/>
      <c r="K856" s="21"/>
      <c r="M856" s="21"/>
      <c r="O856" s="21"/>
      <c r="Q856" s="21"/>
      <c r="S856" s="21"/>
      <c r="U856" s="21"/>
      <c r="W856" s="21"/>
      <c r="Y856" s="21"/>
      <c r="AA856" s="21"/>
      <c r="AC856" s="21"/>
      <c r="AE856" s="21"/>
      <c r="AG856" s="21"/>
      <c r="AI856" s="21"/>
      <c r="AK856" s="21"/>
      <c r="AM856" s="21"/>
      <c r="AN856" s="21"/>
    </row>
    <row r="857">
      <c r="A857" s="21"/>
      <c r="B857" s="21"/>
      <c r="D857" s="21"/>
      <c r="F857" s="21"/>
      <c r="G857" s="21"/>
      <c r="I857" s="21"/>
      <c r="K857" s="21"/>
      <c r="M857" s="21"/>
      <c r="O857" s="21"/>
      <c r="Q857" s="21"/>
      <c r="S857" s="21"/>
      <c r="U857" s="21"/>
      <c r="W857" s="21"/>
      <c r="Y857" s="21"/>
      <c r="AA857" s="21"/>
      <c r="AC857" s="21"/>
      <c r="AE857" s="21"/>
      <c r="AG857" s="21"/>
      <c r="AI857" s="21"/>
      <c r="AK857" s="21"/>
      <c r="AM857" s="21"/>
      <c r="AN857" s="21"/>
    </row>
    <row r="858">
      <c r="A858" s="21"/>
      <c r="B858" s="21"/>
      <c r="D858" s="21"/>
      <c r="F858" s="21"/>
      <c r="G858" s="21"/>
      <c r="I858" s="21"/>
      <c r="K858" s="21"/>
      <c r="M858" s="21"/>
      <c r="O858" s="21"/>
      <c r="Q858" s="21"/>
      <c r="S858" s="21"/>
      <c r="U858" s="21"/>
      <c r="W858" s="21"/>
      <c r="Y858" s="21"/>
      <c r="AA858" s="21"/>
      <c r="AC858" s="21"/>
      <c r="AE858" s="21"/>
      <c r="AG858" s="21"/>
      <c r="AI858" s="21"/>
      <c r="AK858" s="21"/>
      <c r="AM858" s="21"/>
      <c r="AN858" s="21"/>
    </row>
    <row r="859">
      <c r="A859" s="21"/>
      <c r="B859" s="21"/>
      <c r="D859" s="21"/>
      <c r="F859" s="21"/>
      <c r="G859" s="21"/>
      <c r="I859" s="21"/>
      <c r="K859" s="21"/>
      <c r="M859" s="21"/>
      <c r="O859" s="21"/>
      <c r="Q859" s="21"/>
      <c r="S859" s="21"/>
      <c r="U859" s="21"/>
      <c r="W859" s="21"/>
      <c r="Y859" s="21"/>
      <c r="AA859" s="21"/>
      <c r="AC859" s="21"/>
      <c r="AE859" s="21"/>
      <c r="AG859" s="21"/>
      <c r="AI859" s="21"/>
      <c r="AK859" s="21"/>
      <c r="AM859" s="21"/>
      <c r="AN859" s="21"/>
    </row>
    <row r="860">
      <c r="A860" s="21"/>
      <c r="B860" s="21"/>
      <c r="D860" s="21"/>
      <c r="F860" s="21"/>
      <c r="G860" s="21"/>
      <c r="I860" s="21"/>
      <c r="K860" s="21"/>
      <c r="M860" s="21"/>
      <c r="O860" s="21"/>
      <c r="Q860" s="21"/>
      <c r="S860" s="21"/>
      <c r="U860" s="21"/>
      <c r="W860" s="21"/>
      <c r="Y860" s="21"/>
      <c r="AA860" s="21"/>
      <c r="AC860" s="21"/>
      <c r="AE860" s="21"/>
      <c r="AG860" s="21"/>
      <c r="AI860" s="21"/>
      <c r="AK860" s="21"/>
      <c r="AM860" s="21"/>
      <c r="AN860" s="21"/>
    </row>
    <row r="861">
      <c r="A861" s="21"/>
      <c r="B861" s="21"/>
      <c r="D861" s="21"/>
      <c r="F861" s="21"/>
      <c r="G861" s="21"/>
      <c r="I861" s="21"/>
      <c r="K861" s="21"/>
      <c r="M861" s="21"/>
      <c r="O861" s="21"/>
      <c r="Q861" s="21"/>
      <c r="S861" s="21"/>
      <c r="U861" s="21"/>
      <c r="W861" s="21"/>
      <c r="Y861" s="21"/>
      <c r="AA861" s="21"/>
      <c r="AC861" s="21"/>
      <c r="AE861" s="21"/>
      <c r="AG861" s="21"/>
      <c r="AI861" s="21"/>
      <c r="AK861" s="21"/>
      <c r="AM861" s="21"/>
      <c r="AN861" s="21"/>
    </row>
    <row r="862">
      <c r="A862" s="21"/>
      <c r="B862" s="21"/>
      <c r="D862" s="21"/>
      <c r="F862" s="21"/>
      <c r="G862" s="21"/>
      <c r="I862" s="21"/>
      <c r="K862" s="21"/>
      <c r="M862" s="21"/>
      <c r="O862" s="21"/>
      <c r="Q862" s="21"/>
      <c r="S862" s="21"/>
      <c r="U862" s="21"/>
      <c r="W862" s="21"/>
      <c r="Y862" s="21"/>
      <c r="AA862" s="21"/>
      <c r="AC862" s="21"/>
      <c r="AE862" s="21"/>
      <c r="AG862" s="21"/>
      <c r="AI862" s="21"/>
      <c r="AK862" s="21"/>
      <c r="AM862" s="21"/>
      <c r="AN862" s="21"/>
    </row>
    <row r="863">
      <c r="A863" s="21"/>
      <c r="B863" s="21"/>
      <c r="D863" s="21"/>
      <c r="F863" s="21"/>
      <c r="G863" s="21"/>
      <c r="I863" s="21"/>
      <c r="K863" s="21"/>
      <c r="M863" s="21"/>
      <c r="O863" s="21"/>
      <c r="Q863" s="21"/>
      <c r="S863" s="21"/>
      <c r="U863" s="21"/>
      <c r="W863" s="21"/>
      <c r="Y863" s="21"/>
      <c r="AA863" s="21"/>
      <c r="AC863" s="21"/>
      <c r="AE863" s="21"/>
      <c r="AG863" s="21"/>
      <c r="AI863" s="21"/>
      <c r="AK863" s="21"/>
      <c r="AM863" s="21"/>
      <c r="AN863" s="21"/>
    </row>
    <row r="864">
      <c r="A864" s="21"/>
      <c r="B864" s="21"/>
      <c r="D864" s="21"/>
      <c r="F864" s="21"/>
      <c r="G864" s="21"/>
      <c r="I864" s="21"/>
      <c r="K864" s="21"/>
      <c r="M864" s="21"/>
      <c r="O864" s="21"/>
      <c r="Q864" s="21"/>
      <c r="S864" s="21"/>
      <c r="U864" s="21"/>
      <c r="W864" s="21"/>
      <c r="Y864" s="21"/>
      <c r="AA864" s="21"/>
      <c r="AC864" s="21"/>
      <c r="AE864" s="21"/>
      <c r="AG864" s="21"/>
      <c r="AI864" s="21"/>
      <c r="AK864" s="21"/>
      <c r="AM864" s="21"/>
      <c r="AN864" s="21"/>
    </row>
    <row r="865">
      <c r="A865" s="21"/>
      <c r="B865" s="21"/>
      <c r="D865" s="21"/>
      <c r="F865" s="21"/>
      <c r="G865" s="21"/>
      <c r="I865" s="21"/>
      <c r="K865" s="21"/>
      <c r="M865" s="21"/>
      <c r="O865" s="21"/>
      <c r="Q865" s="21"/>
      <c r="S865" s="21"/>
      <c r="U865" s="21"/>
      <c r="W865" s="21"/>
      <c r="Y865" s="21"/>
      <c r="AA865" s="21"/>
      <c r="AC865" s="21"/>
      <c r="AE865" s="21"/>
      <c r="AG865" s="21"/>
      <c r="AI865" s="21"/>
      <c r="AK865" s="21"/>
      <c r="AM865" s="21"/>
      <c r="AN865" s="21"/>
    </row>
    <row r="866">
      <c r="A866" s="21"/>
      <c r="B866" s="21"/>
      <c r="D866" s="21"/>
      <c r="F866" s="21"/>
      <c r="G866" s="21"/>
      <c r="I866" s="21"/>
      <c r="K866" s="21"/>
      <c r="M866" s="21"/>
      <c r="O866" s="21"/>
      <c r="Q866" s="21"/>
      <c r="S866" s="21"/>
      <c r="U866" s="21"/>
      <c r="W866" s="21"/>
      <c r="Y866" s="21"/>
      <c r="AA866" s="21"/>
      <c r="AC866" s="21"/>
      <c r="AE866" s="21"/>
      <c r="AG866" s="21"/>
      <c r="AI866" s="21"/>
      <c r="AK866" s="21"/>
      <c r="AM866" s="21"/>
      <c r="AN866" s="21"/>
    </row>
    <row r="867">
      <c r="A867" s="21"/>
      <c r="B867" s="21"/>
      <c r="D867" s="21"/>
      <c r="F867" s="21"/>
      <c r="G867" s="21"/>
      <c r="I867" s="21"/>
      <c r="K867" s="21"/>
      <c r="M867" s="21"/>
      <c r="O867" s="21"/>
      <c r="Q867" s="21"/>
      <c r="S867" s="21"/>
      <c r="U867" s="21"/>
      <c r="W867" s="21"/>
      <c r="Y867" s="21"/>
      <c r="AA867" s="21"/>
      <c r="AC867" s="21"/>
      <c r="AE867" s="21"/>
      <c r="AG867" s="21"/>
      <c r="AI867" s="21"/>
      <c r="AK867" s="21"/>
      <c r="AM867" s="21"/>
      <c r="AN867" s="21"/>
    </row>
    <row r="868">
      <c r="A868" s="21"/>
      <c r="B868" s="21"/>
      <c r="D868" s="21"/>
      <c r="F868" s="21"/>
      <c r="G868" s="21"/>
      <c r="I868" s="21"/>
      <c r="K868" s="21"/>
      <c r="M868" s="21"/>
      <c r="O868" s="21"/>
      <c r="Q868" s="21"/>
      <c r="S868" s="21"/>
      <c r="U868" s="21"/>
      <c r="W868" s="21"/>
      <c r="Y868" s="21"/>
      <c r="AA868" s="21"/>
      <c r="AC868" s="21"/>
      <c r="AE868" s="21"/>
      <c r="AG868" s="21"/>
      <c r="AI868" s="21"/>
      <c r="AK868" s="21"/>
      <c r="AM868" s="21"/>
      <c r="AN868" s="21"/>
    </row>
    <row r="869">
      <c r="A869" s="21"/>
      <c r="B869" s="21"/>
      <c r="D869" s="21"/>
      <c r="F869" s="21"/>
      <c r="G869" s="21"/>
      <c r="I869" s="21"/>
      <c r="K869" s="21"/>
      <c r="M869" s="21"/>
      <c r="O869" s="21"/>
      <c r="Q869" s="21"/>
      <c r="S869" s="21"/>
      <c r="U869" s="21"/>
      <c r="W869" s="21"/>
      <c r="Y869" s="21"/>
      <c r="AA869" s="21"/>
      <c r="AC869" s="21"/>
      <c r="AE869" s="21"/>
      <c r="AG869" s="21"/>
      <c r="AI869" s="21"/>
      <c r="AK869" s="21"/>
      <c r="AM869" s="21"/>
      <c r="AN869" s="21"/>
    </row>
    <row r="870">
      <c r="A870" s="21"/>
      <c r="B870" s="21"/>
      <c r="D870" s="21"/>
      <c r="F870" s="21"/>
      <c r="G870" s="21"/>
      <c r="I870" s="21"/>
      <c r="K870" s="21"/>
      <c r="M870" s="21"/>
      <c r="O870" s="21"/>
      <c r="Q870" s="21"/>
      <c r="S870" s="21"/>
      <c r="U870" s="21"/>
      <c r="W870" s="21"/>
      <c r="Y870" s="21"/>
      <c r="AA870" s="21"/>
      <c r="AC870" s="21"/>
      <c r="AE870" s="21"/>
      <c r="AG870" s="21"/>
      <c r="AI870" s="21"/>
      <c r="AK870" s="21"/>
      <c r="AM870" s="21"/>
      <c r="AN870" s="21"/>
    </row>
    <row r="871">
      <c r="A871" s="21"/>
      <c r="B871" s="21"/>
      <c r="D871" s="21"/>
      <c r="F871" s="21"/>
      <c r="G871" s="21"/>
      <c r="I871" s="21"/>
      <c r="K871" s="21"/>
      <c r="M871" s="21"/>
      <c r="O871" s="21"/>
      <c r="Q871" s="21"/>
      <c r="S871" s="21"/>
      <c r="U871" s="21"/>
      <c r="W871" s="21"/>
      <c r="Y871" s="21"/>
      <c r="AA871" s="21"/>
      <c r="AC871" s="21"/>
      <c r="AE871" s="21"/>
      <c r="AG871" s="21"/>
      <c r="AI871" s="21"/>
      <c r="AK871" s="21"/>
      <c r="AM871" s="21"/>
      <c r="AN871" s="21"/>
    </row>
    <row r="872">
      <c r="A872" s="21"/>
      <c r="B872" s="21"/>
      <c r="D872" s="21"/>
      <c r="F872" s="21"/>
      <c r="G872" s="21"/>
      <c r="I872" s="21"/>
      <c r="K872" s="21"/>
      <c r="M872" s="21"/>
      <c r="O872" s="21"/>
      <c r="Q872" s="21"/>
      <c r="S872" s="21"/>
      <c r="U872" s="21"/>
      <c r="W872" s="21"/>
      <c r="Y872" s="21"/>
      <c r="AA872" s="21"/>
      <c r="AC872" s="21"/>
      <c r="AE872" s="21"/>
      <c r="AG872" s="21"/>
      <c r="AI872" s="21"/>
      <c r="AK872" s="21"/>
      <c r="AM872" s="21"/>
      <c r="AN872" s="21"/>
    </row>
    <row r="873">
      <c r="A873" s="21"/>
      <c r="B873" s="21"/>
      <c r="D873" s="21"/>
      <c r="F873" s="21"/>
      <c r="G873" s="21"/>
      <c r="I873" s="21"/>
      <c r="K873" s="21"/>
      <c r="M873" s="21"/>
      <c r="O873" s="21"/>
      <c r="Q873" s="21"/>
      <c r="S873" s="21"/>
      <c r="U873" s="21"/>
      <c r="W873" s="21"/>
      <c r="Y873" s="21"/>
      <c r="AA873" s="21"/>
      <c r="AC873" s="21"/>
      <c r="AE873" s="21"/>
      <c r="AG873" s="21"/>
      <c r="AI873" s="21"/>
      <c r="AK873" s="21"/>
      <c r="AM873" s="21"/>
      <c r="AN873" s="21"/>
    </row>
    <row r="874">
      <c r="A874" s="21"/>
      <c r="B874" s="21"/>
      <c r="D874" s="21"/>
      <c r="F874" s="21"/>
      <c r="G874" s="21"/>
      <c r="I874" s="21"/>
      <c r="K874" s="21"/>
      <c r="M874" s="21"/>
      <c r="O874" s="21"/>
      <c r="Q874" s="21"/>
      <c r="S874" s="21"/>
      <c r="U874" s="21"/>
      <c r="W874" s="21"/>
      <c r="Y874" s="21"/>
      <c r="AA874" s="21"/>
      <c r="AC874" s="21"/>
      <c r="AE874" s="21"/>
      <c r="AG874" s="21"/>
      <c r="AI874" s="21"/>
      <c r="AK874" s="21"/>
      <c r="AM874" s="21"/>
      <c r="AN874" s="21"/>
    </row>
    <row r="875">
      <c r="A875" s="21"/>
      <c r="B875" s="21"/>
      <c r="D875" s="21"/>
      <c r="F875" s="21"/>
      <c r="G875" s="21"/>
      <c r="I875" s="21"/>
      <c r="K875" s="21"/>
      <c r="M875" s="21"/>
      <c r="O875" s="21"/>
      <c r="Q875" s="21"/>
      <c r="S875" s="21"/>
      <c r="U875" s="21"/>
      <c r="W875" s="21"/>
      <c r="Y875" s="21"/>
      <c r="AA875" s="21"/>
      <c r="AC875" s="21"/>
      <c r="AE875" s="21"/>
      <c r="AG875" s="21"/>
      <c r="AI875" s="21"/>
      <c r="AK875" s="21"/>
      <c r="AM875" s="21"/>
      <c r="AN875" s="21"/>
    </row>
    <row r="876">
      <c r="A876" s="21"/>
      <c r="B876" s="21"/>
      <c r="D876" s="21"/>
      <c r="F876" s="21"/>
      <c r="G876" s="21"/>
      <c r="I876" s="21"/>
      <c r="K876" s="21"/>
      <c r="M876" s="21"/>
      <c r="O876" s="21"/>
      <c r="Q876" s="21"/>
      <c r="S876" s="21"/>
      <c r="U876" s="21"/>
      <c r="W876" s="21"/>
      <c r="Y876" s="21"/>
      <c r="AA876" s="21"/>
      <c r="AC876" s="21"/>
      <c r="AE876" s="21"/>
      <c r="AG876" s="21"/>
      <c r="AI876" s="21"/>
      <c r="AK876" s="21"/>
      <c r="AM876" s="21"/>
      <c r="AN876" s="21"/>
    </row>
    <row r="877">
      <c r="A877" s="21"/>
      <c r="B877" s="21"/>
      <c r="D877" s="21"/>
      <c r="F877" s="21"/>
      <c r="G877" s="21"/>
      <c r="I877" s="21"/>
      <c r="K877" s="21"/>
      <c r="M877" s="21"/>
      <c r="O877" s="21"/>
      <c r="Q877" s="21"/>
      <c r="S877" s="21"/>
      <c r="U877" s="21"/>
      <c r="W877" s="21"/>
      <c r="Y877" s="21"/>
      <c r="AA877" s="21"/>
      <c r="AC877" s="21"/>
      <c r="AE877" s="21"/>
      <c r="AG877" s="21"/>
      <c r="AI877" s="21"/>
      <c r="AK877" s="21"/>
      <c r="AM877" s="21"/>
      <c r="AN877" s="21"/>
    </row>
    <row r="878">
      <c r="A878" s="21"/>
      <c r="B878" s="21"/>
      <c r="D878" s="21"/>
      <c r="F878" s="21"/>
      <c r="G878" s="21"/>
      <c r="I878" s="21"/>
      <c r="K878" s="21"/>
      <c r="M878" s="21"/>
      <c r="O878" s="21"/>
      <c r="Q878" s="21"/>
      <c r="S878" s="21"/>
      <c r="U878" s="21"/>
      <c r="W878" s="21"/>
      <c r="Y878" s="21"/>
      <c r="AA878" s="21"/>
      <c r="AC878" s="21"/>
      <c r="AE878" s="21"/>
      <c r="AG878" s="21"/>
      <c r="AI878" s="21"/>
      <c r="AK878" s="21"/>
      <c r="AM878" s="21"/>
      <c r="AN878" s="21"/>
    </row>
    <row r="879">
      <c r="A879" s="21"/>
      <c r="B879" s="21"/>
      <c r="D879" s="21"/>
      <c r="F879" s="21"/>
      <c r="G879" s="21"/>
      <c r="I879" s="21"/>
      <c r="K879" s="21"/>
      <c r="M879" s="21"/>
      <c r="O879" s="21"/>
      <c r="Q879" s="21"/>
      <c r="S879" s="21"/>
      <c r="U879" s="21"/>
      <c r="W879" s="21"/>
      <c r="Y879" s="21"/>
      <c r="AA879" s="21"/>
      <c r="AC879" s="21"/>
      <c r="AE879" s="21"/>
      <c r="AG879" s="21"/>
      <c r="AI879" s="21"/>
      <c r="AK879" s="21"/>
      <c r="AM879" s="21"/>
      <c r="AN879" s="21"/>
    </row>
    <row r="880">
      <c r="A880" s="21"/>
      <c r="B880" s="21"/>
      <c r="D880" s="21"/>
      <c r="F880" s="21"/>
      <c r="G880" s="21"/>
      <c r="I880" s="21"/>
      <c r="K880" s="21"/>
      <c r="M880" s="21"/>
      <c r="O880" s="21"/>
      <c r="Q880" s="21"/>
      <c r="S880" s="21"/>
      <c r="U880" s="21"/>
      <c r="W880" s="21"/>
      <c r="Y880" s="21"/>
      <c r="AA880" s="21"/>
      <c r="AC880" s="21"/>
      <c r="AE880" s="21"/>
      <c r="AG880" s="21"/>
      <c r="AI880" s="21"/>
      <c r="AK880" s="21"/>
      <c r="AM880" s="21"/>
      <c r="AN880" s="21"/>
    </row>
    <row r="881">
      <c r="A881" s="21"/>
      <c r="B881" s="21"/>
      <c r="D881" s="21"/>
      <c r="F881" s="21"/>
      <c r="G881" s="21"/>
      <c r="I881" s="21"/>
      <c r="K881" s="21"/>
      <c r="M881" s="21"/>
      <c r="O881" s="21"/>
      <c r="Q881" s="21"/>
      <c r="S881" s="21"/>
      <c r="U881" s="21"/>
      <c r="W881" s="21"/>
      <c r="Y881" s="21"/>
      <c r="AA881" s="21"/>
      <c r="AC881" s="21"/>
      <c r="AE881" s="21"/>
      <c r="AG881" s="21"/>
      <c r="AI881" s="21"/>
      <c r="AK881" s="21"/>
      <c r="AM881" s="21"/>
      <c r="AN881" s="21"/>
    </row>
    <row r="882">
      <c r="A882" s="21"/>
      <c r="B882" s="21"/>
      <c r="D882" s="21"/>
      <c r="F882" s="21"/>
      <c r="G882" s="21"/>
      <c r="I882" s="21"/>
      <c r="K882" s="21"/>
      <c r="M882" s="21"/>
      <c r="O882" s="21"/>
      <c r="Q882" s="21"/>
      <c r="S882" s="21"/>
      <c r="U882" s="21"/>
      <c r="W882" s="21"/>
      <c r="Y882" s="21"/>
      <c r="AA882" s="21"/>
      <c r="AC882" s="21"/>
      <c r="AE882" s="21"/>
      <c r="AG882" s="21"/>
      <c r="AI882" s="21"/>
      <c r="AK882" s="21"/>
      <c r="AM882" s="21"/>
      <c r="AN882" s="21"/>
    </row>
    <row r="883">
      <c r="A883" s="21"/>
      <c r="B883" s="21"/>
      <c r="D883" s="21"/>
      <c r="F883" s="21"/>
      <c r="G883" s="21"/>
      <c r="I883" s="21"/>
      <c r="K883" s="21"/>
      <c r="M883" s="21"/>
      <c r="O883" s="21"/>
      <c r="Q883" s="21"/>
      <c r="S883" s="21"/>
      <c r="U883" s="21"/>
      <c r="W883" s="21"/>
      <c r="Y883" s="21"/>
      <c r="AA883" s="21"/>
      <c r="AC883" s="21"/>
      <c r="AE883" s="21"/>
      <c r="AG883" s="21"/>
      <c r="AI883" s="21"/>
      <c r="AK883" s="21"/>
      <c r="AM883" s="21"/>
      <c r="AN883" s="21"/>
    </row>
    <row r="884">
      <c r="A884" s="21"/>
      <c r="B884" s="21"/>
      <c r="D884" s="21"/>
      <c r="F884" s="21"/>
      <c r="G884" s="21"/>
      <c r="I884" s="21"/>
      <c r="K884" s="21"/>
      <c r="M884" s="21"/>
      <c r="O884" s="21"/>
      <c r="Q884" s="21"/>
      <c r="S884" s="21"/>
      <c r="U884" s="21"/>
      <c r="W884" s="21"/>
      <c r="Y884" s="21"/>
      <c r="AA884" s="21"/>
      <c r="AC884" s="21"/>
      <c r="AE884" s="21"/>
      <c r="AG884" s="21"/>
      <c r="AI884" s="21"/>
      <c r="AK884" s="21"/>
      <c r="AM884" s="21"/>
      <c r="AN884" s="21"/>
    </row>
    <row r="885">
      <c r="A885" s="21"/>
      <c r="B885" s="21"/>
      <c r="D885" s="21"/>
      <c r="F885" s="21"/>
      <c r="G885" s="21"/>
      <c r="I885" s="21"/>
      <c r="K885" s="21"/>
      <c r="M885" s="21"/>
      <c r="O885" s="21"/>
      <c r="Q885" s="21"/>
      <c r="S885" s="21"/>
      <c r="U885" s="21"/>
      <c r="W885" s="21"/>
      <c r="Y885" s="21"/>
      <c r="AA885" s="21"/>
      <c r="AC885" s="21"/>
      <c r="AE885" s="21"/>
      <c r="AG885" s="21"/>
      <c r="AI885" s="21"/>
      <c r="AK885" s="21"/>
      <c r="AM885" s="21"/>
      <c r="AN885" s="21"/>
    </row>
    <row r="886">
      <c r="A886" s="21"/>
      <c r="B886" s="21"/>
      <c r="D886" s="21"/>
      <c r="F886" s="21"/>
      <c r="G886" s="21"/>
      <c r="I886" s="21"/>
      <c r="K886" s="21"/>
      <c r="M886" s="21"/>
      <c r="O886" s="21"/>
      <c r="Q886" s="21"/>
      <c r="S886" s="21"/>
      <c r="U886" s="21"/>
      <c r="W886" s="21"/>
      <c r="Y886" s="21"/>
      <c r="AA886" s="21"/>
      <c r="AC886" s="21"/>
      <c r="AE886" s="21"/>
      <c r="AG886" s="21"/>
      <c r="AI886" s="21"/>
      <c r="AK886" s="21"/>
      <c r="AM886" s="21"/>
      <c r="AN886" s="21"/>
    </row>
    <row r="887">
      <c r="A887" s="21"/>
      <c r="B887" s="21"/>
      <c r="D887" s="21"/>
      <c r="F887" s="21"/>
      <c r="G887" s="21"/>
      <c r="I887" s="21"/>
      <c r="K887" s="21"/>
      <c r="M887" s="21"/>
      <c r="O887" s="21"/>
      <c r="Q887" s="21"/>
      <c r="S887" s="21"/>
      <c r="U887" s="21"/>
      <c r="W887" s="21"/>
      <c r="Y887" s="21"/>
      <c r="AA887" s="21"/>
      <c r="AC887" s="21"/>
      <c r="AE887" s="21"/>
      <c r="AG887" s="21"/>
      <c r="AI887" s="21"/>
      <c r="AK887" s="21"/>
      <c r="AM887" s="21"/>
      <c r="AN887" s="21"/>
    </row>
    <row r="888">
      <c r="A888" s="21"/>
      <c r="B888" s="21"/>
      <c r="D888" s="21"/>
      <c r="F888" s="21"/>
      <c r="G888" s="21"/>
      <c r="I888" s="21"/>
      <c r="K888" s="21"/>
      <c r="M888" s="21"/>
      <c r="O888" s="21"/>
      <c r="Q888" s="21"/>
      <c r="S888" s="21"/>
      <c r="U888" s="21"/>
      <c r="W888" s="21"/>
      <c r="Y888" s="21"/>
      <c r="AA888" s="21"/>
      <c r="AC888" s="21"/>
      <c r="AE888" s="21"/>
      <c r="AG888" s="21"/>
      <c r="AI888" s="21"/>
      <c r="AK888" s="21"/>
      <c r="AM888" s="21"/>
      <c r="AN888" s="21"/>
    </row>
    <row r="889">
      <c r="A889" s="21"/>
      <c r="B889" s="21"/>
      <c r="D889" s="21"/>
      <c r="F889" s="21"/>
      <c r="G889" s="21"/>
      <c r="I889" s="21"/>
      <c r="K889" s="21"/>
      <c r="M889" s="21"/>
      <c r="O889" s="21"/>
      <c r="Q889" s="21"/>
      <c r="S889" s="21"/>
      <c r="U889" s="21"/>
      <c r="W889" s="21"/>
      <c r="Y889" s="21"/>
      <c r="AA889" s="21"/>
      <c r="AC889" s="21"/>
      <c r="AE889" s="21"/>
      <c r="AG889" s="21"/>
      <c r="AI889" s="21"/>
      <c r="AK889" s="21"/>
      <c r="AM889" s="21"/>
      <c r="AN889" s="21"/>
    </row>
    <row r="890">
      <c r="A890" s="21"/>
      <c r="B890" s="21"/>
      <c r="D890" s="21"/>
      <c r="F890" s="21"/>
      <c r="G890" s="21"/>
      <c r="I890" s="21"/>
      <c r="K890" s="21"/>
      <c r="M890" s="21"/>
      <c r="O890" s="21"/>
      <c r="Q890" s="21"/>
      <c r="S890" s="21"/>
      <c r="U890" s="21"/>
      <c r="W890" s="21"/>
      <c r="Y890" s="21"/>
      <c r="AA890" s="21"/>
      <c r="AC890" s="21"/>
      <c r="AE890" s="21"/>
      <c r="AG890" s="21"/>
      <c r="AI890" s="21"/>
      <c r="AK890" s="21"/>
      <c r="AM890" s="21"/>
      <c r="AN890" s="21"/>
    </row>
    <row r="891">
      <c r="A891" s="21"/>
      <c r="B891" s="21"/>
      <c r="D891" s="21"/>
      <c r="F891" s="21"/>
      <c r="G891" s="21"/>
      <c r="I891" s="21"/>
      <c r="K891" s="21"/>
      <c r="M891" s="21"/>
      <c r="O891" s="21"/>
      <c r="Q891" s="21"/>
      <c r="S891" s="21"/>
      <c r="U891" s="21"/>
      <c r="W891" s="21"/>
      <c r="Y891" s="21"/>
      <c r="AA891" s="21"/>
      <c r="AC891" s="21"/>
      <c r="AE891" s="21"/>
      <c r="AG891" s="21"/>
      <c r="AI891" s="21"/>
      <c r="AK891" s="21"/>
      <c r="AM891" s="21"/>
      <c r="AN891" s="21"/>
    </row>
    <row r="892">
      <c r="A892" s="21"/>
      <c r="B892" s="21"/>
      <c r="D892" s="21"/>
      <c r="F892" s="21"/>
      <c r="G892" s="21"/>
      <c r="I892" s="21"/>
      <c r="K892" s="21"/>
      <c r="M892" s="21"/>
      <c r="O892" s="21"/>
      <c r="Q892" s="21"/>
      <c r="S892" s="21"/>
      <c r="U892" s="21"/>
      <c r="W892" s="21"/>
      <c r="Y892" s="21"/>
      <c r="AA892" s="21"/>
      <c r="AC892" s="21"/>
      <c r="AE892" s="21"/>
      <c r="AG892" s="21"/>
      <c r="AI892" s="21"/>
      <c r="AK892" s="21"/>
      <c r="AM892" s="21"/>
      <c r="AN892" s="21"/>
    </row>
    <row r="893">
      <c r="A893" s="21"/>
      <c r="B893" s="21"/>
      <c r="D893" s="21"/>
      <c r="F893" s="21"/>
      <c r="G893" s="21"/>
      <c r="I893" s="21"/>
      <c r="K893" s="21"/>
      <c r="M893" s="21"/>
      <c r="O893" s="21"/>
      <c r="Q893" s="21"/>
      <c r="S893" s="21"/>
      <c r="U893" s="21"/>
      <c r="W893" s="21"/>
      <c r="Y893" s="21"/>
      <c r="AA893" s="21"/>
      <c r="AC893" s="21"/>
      <c r="AE893" s="21"/>
      <c r="AG893" s="21"/>
      <c r="AI893" s="21"/>
      <c r="AK893" s="21"/>
      <c r="AM893" s="21"/>
      <c r="AN893" s="21"/>
    </row>
    <row r="894">
      <c r="A894" s="21"/>
      <c r="B894" s="21"/>
      <c r="D894" s="21"/>
      <c r="F894" s="21"/>
      <c r="G894" s="21"/>
      <c r="I894" s="21"/>
      <c r="K894" s="21"/>
      <c r="M894" s="21"/>
      <c r="O894" s="21"/>
      <c r="Q894" s="21"/>
      <c r="S894" s="21"/>
      <c r="U894" s="21"/>
      <c r="W894" s="21"/>
      <c r="Y894" s="21"/>
      <c r="AA894" s="21"/>
      <c r="AC894" s="21"/>
      <c r="AE894" s="21"/>
      <c r="AG894" s="21"/>
      <c r="AI894" s="21"/>
      <c r="AK894" s="21"/>
      <c r="AM894" s="21"/>
      <c r="AN894" s="21"/>
    </row>
    <row r="895">
      <c r="A895" s="21"/>
      <c r="B895" s="21"/>
      <c r="D895" s="21"/>
      <c r="F895" s="21"/>
      <c r="G895" s="21"/>
      <c r="I895" s="21"/>
      <c r="K895" s="21"/>
      <c r="M895" s="21"/>
      <c r="O895" s="21"/>
      <c r="Q895" s="21"/>
      <c r="S895" s="21"/>
      <c r="U895" s="21"/>
      <c r="W895" s="21"/>
      <c r="Y895" s="21"/>
      <c r="AA895" s="21"/>
      <c r="AC895" s="21"/>
      <c r="AE895" s="21"/>
      <c r="AG895" s="21"/>
      <c r="AI895" s="21"/>
      <c r="AK895" s="21"/>
      <c r="AM895" s="21"/>
      <c r="AN895" s="21"/>
    </row>
    <row r="896">
      <c r="A896" s="21"/>
      <c r="B896" s="21"/>
      <c r="D896" s="21"/>
      <c r="F896" s="21"/>
      <c r="G896" s="21"/>
      <c r="I896" s="21"/>
      <c r="K896" s="21"/>
      <c r="M896" s="21"/>
      <c r="O896" s="21"/>
      <c r="Q896" s="21"/>
      <c r="S896" s="21"/>
      <c r="U896" s="21"/>
      <c r="W896" s="21"/>
      <c r="Y896" s="21"/>
      <c r="AA896" s="21"/>
      <c r="AC896" s="21"/>
      <c r="AE896" s="21"/>
      <c r="AG896" s="21"/>
      <c r="AI896" s="21"/>
      <c r="AK896" s="21"/>
      <c r="AM896" s="21"/>
      <c r="AN896" s="21"/>
    </row>
    <row r="897">
      <c r="A897" s="21"/>
      <c r="B897" s="21"/>
      <c r="D897" s="21"/>
      <c r="F897" s="21"/>
      <c r="G897" s="21"/>
      <c r="I897" s="21"/>
      <c r="K897" s="21"/>
      <c r="M897" s="21"/>
      <c r="O897" s="21"/>
      <c r="Q897" s="21"/>
      <c r="S897" s="21"/>
      <c r="U897" s="21"/>
      <c r="W897" s="21"/>
      <c r="Y897" s="21"/>
      <c r="AA897" s="21"/>
      <c r="AC897" s="21"/>
      <c r="AE897" s="21"/>
      <c r="AG897" s="21"/>
      <c r="AI897" s="21"/>
      <c r="AK897" s="21"/>
      <c r="AM897" s="21"/>
      <c r="AN897" s="21"/>
    </row>
    <row r="898">
      <c r="A898" s="21"/>
      <c r="B898" s="21"/>
      <c r="D898" s="21"/>
      <c r="F898" s="21"/>
      <c r="G898" s="21"/>
      <c r="I898" s="21"/>
      <c r="K898" s="21"/>
      <c r="M898" s="21"/>
      <c r="O898" s="21"/>
      <c r="Q898" s="21"/>
      <c r="S898" s="21"/>
      <c r="U898" s="21"/>
      <c r="W898" s="21"/>
      <c r="Y898" s="21"/>
      <c r="AA898" s="21"/>
      <c r="AC898" s="21"/>
      <c r="AE898" s="21"/>
      <c r="AG898" s="21"/>
      <c r="AI898" s="21"/>
      <c r="AK898" s="21"/>
      <c r="AM898" s="21"/>
      <c r="AN898" s="21"/>
    </row>
    <row r="899">
      <c r="A899" s="21"/>
      <c r="B899" s="21"/>
      <c r="D899" s="21"/>
      <c r="F899" s="21"/>
      <c r="G899" s="21"/>
      <c r="I899" s="21"/>
      <c r="K899" s="21"/>
      <c r="M899" s="21"/>
      <c r="O899" s="21"/>
      <c r="Q899" s="21"/>
      <c r="S899" s="21"/>
      <c r="U899" s="21"/>
      <c r="W899" s="21"/>
      <c r="Y899" s="21"/>
      <c r="AA899" s="21"/>
      <c r="AC899" s="21"/>
      <c r="AE899" s="21"/>
      <c r="AG899" s="21"/>
      <c r="AI899" s="21"/>
      <c r="AK899" s="21"/>
      <c r="AM899" s="21"/>
      <c r="AN899" s="21"/>
    </row>
    <row r="900">
      <c r="A900" s="21"/>
      <c r="B900" s="21"/>
      <c r="D900" s="21"/>
      <c r="F900" s="21"/>
      <c r="G900" s="21"/>
      <c r="I900" s="21"/>
      <c r="K900" s="21"/>
      <c r="M900" s="21"/>
      <c r="O900" s="21"/>
      <c r="Q900" s="21"/>
      <c r="S900" s="21"/>
      <c r="U900" s="21"/>
      <c r="W900" s="21"/>
      <c r="Y900" s="21"/>
      <c r="AA900" s="21"/>
      <c r="AC900" s="21"/>
      <c r="AE900" s="21"/>
      <c r="AG900" s="21"/>
      <c r="AI900" s="21"/>
      <c r="AK900" s="21"/>
      <c r="AM900" s="21"/>
      <c r="AN900" s="21"/>
    </row>
    <row r="901">
      <c r="A901" s="21"/>
      <c r="B901" s="21"/>
      <c r="D901" s="21"/>
      <c r="F901" s="21"/>
      <c r="G901" s="21"/>
      <c r="I901" s="21"/>
      <c r="K901" s="21"/>
      <c r="M901" s="21"/>
      <c r="O901" s="21"/>
      <c r="Q901" s="21"/>
      <c r="S901" s="21"/>
      <c r="U901" s="21"/>
      <c r="W901" s="21"/>
      <c r="Y901" s="21"/>
      <c r="AA901" s="21"/>
      <c r="AC901" s="21"/>
      <c r="AE901" s="21"/>
      <c r="AG901" s="21"/>
      <c r="AI901" s="21"/>
      <c r="AK901" s="21"/>
      <c r="AM901" s="21"/>
      <c r="AN901" s="21"/>
    </row>
    <row r="902">
      <c r="A902" s="21"/>
      <c r="B902" s="21"/>
      <c r="D902" s="21"/>
      <c r="F902" s="21"/>
      <c r="G902" s="21"/>
      <c r="I902" s="21"/>
      <c r="K902" s="21"/>
      <c r="M902" s="21"/>
      <c r="O902" s="21"/>
      <c r="Q902" s="21"/>
      <c r="S902" s="21"/>
      <c r="U902" s="21"/>
      <c r="W902" s="21"/>
      <c r="Y902" s="21"/>
      <c r="AA902" s="21"/>
      <c r="AC902" s="21"/>
      <c r="AE902" s="21"/>
      <c r="AG902" s="21"/>
      <c r="AI902" s="21"/>
      <c r="AK902" s="21"/>
      <c r="AM902" s="21"/>
      <c r="AN902" s="21"/>
    </row>
    <row r="903">
      <c r="A903" s="21"/>
      <c r="B903" s="21"/>
      <c r="D903" s="21"/>
      <c r="F903" s="21"/>
      <c r="G903" s="21"/>
      <c r="I903" s="21"/>
      <c r="K903" s="21"/>
      <c r="M903" s="21"/>
      <c r="O903" s="21"/>
      <c r="Q903" s="21"/>
      <c r="S903" s="21"/>
      <c r="U903" s="21"/>
      <c r="W903" s="21"/>
      <c r="Y903" s="21"/>
      <c r="AA903" s="21"/>
      <c r="AC903" s="21"/>
      <c r="AE903" s="21"/>
      <c r="AG903" s="21"/>
      <c r="AI903" s="21"/>
      <c r="AK903" s="21"/>
      <c r="AM903" s="21"/>
      <c r="AN903" s="21"/>
    </row>
    <row r="904">
      <c r="A904" s="21"/>
      <c r="B904" s="21"/>
      <c r="D904" s="21"/>
      <c r="F904" s="21"/>
      <c r="G904" s="21"/>
      <c r="I904" s="21"/>
      <c r="K904" s="21"/>
      <c r="M904" s="21"/>
      <c r="O904" s="21"/>
      <c r="Q904" s="21"/>
      <c r="S904" s="21"/>
      <c r="U904" s="21"/>
      <c r="W904" s="21"/>
      <c r="Y904" s="21"/>
      <c r="AA904" s="21"/>
      <c r="AC904" s="21"/>
      <c r="AE904" s="21"/>
      <c r="AG904" s="21"/>
      <c r="AI904" s="21"/>
      <c r="AK904" s="21"/>
      <c r="AM904" s="21"/>
      <c r="AN904" s="21"/>
    </row>
    <row r="905">
      <c r="A905" s="21"/>
      <c r="B905" s="21"/>
      <c r="D905" s="21"/>
      <c r="F905" s="21"/>
      <c r="G905" s="21"/>
      <c r="I905" s="21"/>
      <c r="K905" s="21"/>
      <c r="M905" s="21"/>
      <c r="O905" s="21"/>
      <c r="Q905" s="21"/>
      <c r="S905" s="21"/>
      <c r="U905" s="21"/>
      <c r="W905" s="21"/>
      <c r="Y905" s="21"/>
      <c r="AA905" s="21"/>
      <c r="AC905" s="21"/>
      <c r="AE905" s="21"/>
      <c r="AG905" s="21"/>
      <c r="AI905" s="21"/>
      <c r="AK905" s="21"/>
      <c r="AM905" s="21"/>
      <c r="AN905" s="21"/>
    </row>
    <row r="906">
      <c r="A906" s="21"/>
      <c r="B906" s="21"/>
      <c r="D906" s="21"/>
      <c r="F906" s="21"/>
      <c r="G906" s="21"/>
      <c r="I906" s="21"/>
      <c r="K906" s="21"/>
      <c r="M906" s="21"/>
      <c r="O906" s="21"/>
      <c r="Q906" s="21"/>
      <c r="S906" s="21"/>
      <c r="U906" s="21"/>
      <c r="W906" s="21"/>
      <c r="Y906" s="21"/>
      <c r="AA906" s="21"/>
      <c r="AC906" s="21"/>
      <c r="AE906" s="21"/>
      <c r="AG906" s="21"/>
      <c r="AI906" s="21"/>
      <c r="AK906" s="21"/>
      <c r="AM906" s="21"/>
      <c r="AN906" s="21"/>
    </row>
    <row r="907">
      <c r="A907" s="21"/>
      <c r="B907" s="21"/>
      <c r="D907" s="21"/>
      <c r="F907" s="21"/>
      <c r="G907" s="21"/>
      <c r="I907" s="21"/>
      <c r="K907" s="21"/>
      <c r="M907" s="21"/>
      <c r="O907" s="21"/>
      <c r="Q907" s="21"/>
      <c r="S907" s="21"/>
      <c r="U907" s="21"/>
      <c r="W907" s="21"/>
      <c r="Y907" s="21"/>
      <c r="AA907" s="21"/>
      <c r="AC907" s="21"/>
      <c r="AE907" s="21"/>
      <c r="AG907" s="21"/>
      <c r="AI907" s="21"/>
      <c r="AK907" s="21"/>
      <c r="AM907" s="21"/>
      <c r="AN907" s="21"/>
    </row>
    <row r="908">
      <c r="A908" s="21"/>
      <c r="B908" s="21"/>
      <c r="D908" s="21"/>
      <c r="F908" s="21"/>
      <c r="G908" s="21"/>
      <c r="I908" s="21"/>
      <c r="K908" s="21"/>
      <c r="M908" s="21"/>
      <c r="O908" s="21"/>
      <c r="Q908" s="21"/>
      <c r="S908" s="21"/>
      <c r="U908" s="21"/>
      <c r="W908" s="21"/>
      <c r="Y908" s="21"/>
      <c r="AA908" s="21"/>
      <c r="AC908" s="21"/>
      <c r="AE908" s="21"/>
      <c r="AG908" s="21"/>
      <c r="AI908" s="21"/>
      <c r="AK908" s="21"/>
      <c r="AM908" s="21"/>
      <c r="AN908" s="21"/>
    </row>
    <row r="909">
      <c r="A909" s="21"/>
      <c r="B909" s="21"/>
      <c r="D909" s="21"/>
      <c r="F909" s="21"/>
      <c r="G909" s="21"/>
      <c r="I909" s="21"/>
      <c r="K909" s="21"/>
      <c r="M909" s="21"/>
      <c r="O909" s="21"/>
      <c r="Q909" s="21"/>
      <c r="S909" s="21"/>
      <c r="U909" s="21"/>
      <c r="W909" s="21"/>
      <c r="Y909" s="21"/>
      <c r="AA909" s="21"/>
      <c r="AC909" s="21"/>
      <c r="AE909" s="21"/>
      <c r="AG909" s="21"/>
      <c r="AI909" s="21"/>
      <c r="AK909" s="21"/>
      <c r="AM909" s="21"/>
      <c r="AN909" s="21"/>
    </row>
    <row r="910">
      <c r="A910" s="21"/>
      <c r="B910" s="21"/>
      <c r="D910" s="21"/>
      <c r="F910" s="21"/>
      <c r="G910" s="21"/>
      <c r="I910" s="21"/>
      <c r="K910" s="21"/>
      <c r="M910" s="21"/>
      <c r="O910" s="21"/>
      <c r="Q910" s="21"/>
      <c r="S910" s="21"/>
      <c r="U910" s="21"/>
      <c r="W910" s="21"/>
      <c r="Y910" s="21"/>
      <c r="AA910" s="21"/>
      <c r="AC910" s="21"/>
      <c r="AE910" s="21"/>
      <c r="AG910" s="21"/>
      <c r="AI910" s="21"/>
      <c r="AK910" s="21"/>
      <c r="AM910" s="21"/>
      <c r="AN910" s="21"/>
    </row>
    <row r="911">
      <c r="A911" s="21"/>
      <c r="B911" s="21"/>
      <c r="D911" s="21"/>
      <c r="F911" s="21"/>
      <c r="G911" s="21"/>
      <c r="I911" s="21"/>
      <c r="K911" s="21"/>
      <c r="M911" s="21"/>
      <c r="O911" s="21"/>
      <c r="Q911" s="21"/>
      <c r="S911" s="21"/>
      <c r="U911" s="21"/>
      <c r="W911" s="21"/>
      <c r="Y911" s="21"/>
      <c r="AA911" s="21"/>
      <c r="AC911" s="21"/>
      <c r="AE911" s="21"/>
      <c r="AG911" s="21"/>
      <c r="AI911" s="21"/>
      <c r="AK911" s="21"/>
      <c r="AM911" s="21"/>
      <c r="AN911" s="21"/>
    </row>
    <row r="912">
      <c r="A912" s="21"/>
      <c r="B912" s="21"/>
      <c r="D912" s="21"/>
      <c r="F912" s="21"/>
      <c r="G912" s="21"/>
      <c r="I912" s="21"/>
      <c r="K912" s="21"/>
      <c r="M912" s="21"/>
      <c r="O912" s="21"/>
      <c r="Q912" s="21"/>
      <c r="S912" s="21"/>
      <c r="U912" s="21"/>
      <c r="W912" s="21"/>
      <c r="Y912" s="21"/>
      <c r="AA912" s="21"/>
      <c r="AC912" s="21"/>
      <c r="AE912" s="21"/>
      <c r="AG912" s="21"/>
      <c r="AI912" s="21"/>
      <c r="AK912" s="21"/>
      <c r="AM912" s="21"/>
      <c r="AN912" s="21"/>
    </row>
    <row r="913">
      <c r="A913" s="21"/>
      <c r="B913" s="21"/>
      <c r="D913" s="21"/>
      <c r="F913" s="21"/>
      <c r="G913" s="21"/>
      <c r="I913" s="21"/>
      <c r="K913" s="21"/>
      <c r="M913" s="21"/>
      <c r="O913" s="21"/>
      <c r="Q913" s="21"/>
      <c r="S913" s="21"/>
      <c r="U913" s="21"/>
      <c r="W913" s="21"/>
      <c r="Y913" s="21"/>
      <c r="AA913" s="21"/>
      <c r="AC913" s="21"/>
      <c r="AE913" s="21"/>
      <c r="AG913" s="21"/>
      <c r="AI913" s="21"/>
      <c r="AK913" s="21"/>
      <c r="AM913" s="21"/>
      <c r="AN913" s="21"/>
    </row>
    <row r="914">
      <c r="A914" s="21"/>
      <c r="B914" s="21"/>
      <c r="D914" s="21"/>
      <c r="F914" s="21"/>
      <c r="G914" s="21"/>
      <c r="I914" s="21"/>
      <c r="K914" s="21"/>
      <c r="M914" s="21"/>
      <c r="O914" s="21"/>
      <c r="Q914" s="21"/>
      <c r="S914" s="21"/>
      <c r="U914" s="21"/>
      <c r="W914" s="21"/>
      <c r="Y914" s="21"/>
      <c r="AA914" s="21"/>
      <c r="AC914" s="21"/>
      <c r="AE914" s="21"/>
      <c r="AG914" s="21"/>
      <c r="AI914" s="21"/>
      <c r="AK914" s="21"/>
      <c r="AM914" s="21"/>
      <c r="AN914" s="21"/>
    </row>
    <row r="915">
      <c r="A915" s="21"/>
      <c r="B915" s="21"/>
      <c r="D915" s="21"/>
      <c r="F915" s="21"/>
      <c r="G915" s="21"/>
      <c r="I915" s="21"/>
      <c r="K915" s="21"/>
      <c r="M915" s="21"/>
      <c r="O915" s="21"/>
      <c r="Q915" s="21"/>
      <c r="S915" s="21"/>
      <c r="U915" s="21"/>
      <c r="W915" s="21"/>
      <c r="Y915" s="21"/>
      <c r="AA915" s="21"/>
      <c r="AC915" s="21"/>
      <c r="AE915" s="21"/>
      <c r="AG915" s="21"/>
      <c r="AI915" s="21"/>
      <c r="AK915" s="21"/>
      <c r="AM915" s="21"/>
      <c r="AN915" s="21"/>
    </row>
    <row r="916">
      <c r="A916" s="21"/>
      <c r="B916" s="21"/>
      <c r="D916" s="21"/>
      <c r="F916" s="21"/>
      <c r="G916" s="21"/>
      <c r="I916" s="21"/>
      <c r="K916" s="21"/>
      <c r="M916" s="21"/>
      <c r="O916" s="21"/>
      <c r="Q916" s="21"/>
      <c r="S916" s="21"/>
      <c r="U916" s="21"/>
      <c r="W916" s="21"/>
      <c r="Y916" s="21"/>
      <c r="AA916" s="21"/>
      <c r="AC916" s="21"/>
      <c r="AE916" s="21"/>
      <c r="AG916" s="21"/>
      <c r="AI916" s="21"/>
      <c r="AK916" s="21"/>
      <c r="AM916" s="21"/>
      <c r="AN916" s="21"/>
    </row>
    <row r="917">
      <c r="A917" s="21"/>
      <c r="B917" s="21"/>
      <c r="D917" s="21"/>
      <c r="F917" s="21"/>
      <c r="G917" s="21"/>
      <c r="I917" s="21"/>
      <c r="K917" s="21"/>
      <c r="M917" s="21"/>
      <c r="O917" s="21"/>
      <c r="Q917" s="21"/>
      <c r="S917" s="21"/>
      <c r="U917" s="21"/>
      <c r="W917" s="21"/>
      <c r="Y917" s="21"/>
      <c r="AA917" s="21"/>
      <c r="AC917" s="21"/>
      <c r="AE917" s="21"/>
      <c r="AG917" s="21"/>
      <c r="AI917" s="21"/>
      <c r="AK917" s="21"/>
      <c r="AM917" s="21"/>
      <c r="AN917" s="21"/>
    </row>
    <row r="918">
      <c r="A918" s="21"/>
      <c r="B918" s="21"/>
      <c r="D918" s="21"/>
      <c r="F918" s="21"/>
      <c r="G918" s="21"/>
      <c r="I918" s="21"/>
      <c r="K918" s="21"/>
      <c r="M918" s="21"/>
      <c r="O918" s="21"/>
      <c r="Q918" s="21"/>
      <c r="S918" s="21"/>
      <c r="U918" s="21"/>
      <c r="W918" s="21"/>
      <c r="Y918" s="21"/>
      <c r="AA918" s="21"/>
      <c r="AC918" s="21"/>
      <c r="AE918" s="21"/>
      <c r="AG918" s="21"/>
      <c r="AI918" s="21"/>
      <c r="AK918" s="21"/>
      <c r="AM918" s="21"/>
      <c r="AN918" s="21"/>
    </row>
    <row r="919">
      <c r="A919" s="21"/>
      <c r="B919" s="21"/>
      <c r="D919" s="21"/>
      <c r="F919" s="21"/>
      <c r="G919" s="21"/>
      <c r="I919" s="21"/>
      <c r="K919" s="21"/>
      <c r="M919" s="21"/>
      <c r="O919" s="21"/>
      <c r="Q919" s="21"/>
      <c r="S919" s="21"/>
      <c r="U919" s="21"/>
      <c r="W919" s="21"/>
      <c r="Y919" s="21"/>
      <c r="AA919" s="21"/>
      <c r="AC919" s="21"/>
      <c r="AE919" s="21"/>
      <c r="AG919" s="21"/>
      <c r="AI919" s="21"/>
      <c r="AK919" s="21"/>
      <c r="AM919" s="21"/>
      <c r="AN919" s="21"/>
    </row>
    <row r="920">
      <c r="A920" s="21"/>
      <c r="B920" s="21"/>
      <c r="D920" s="21"/>
      <c r="F920" s="21"/>
      <c r="G920" s="21"/>
      <c r="I920" s="21"/>
      <c r="K920" s="21"/>
      <c r="M920" s="21"/>
      <c r="O920" s="21"/>
      <c r="Q920" s="21"/>
      <c r="S920" s="21"/>
      <c r="U920" s="21"/>
      <c r="W920" s="21"/>
      <c r="Y920" s="21"/>
      <c r="AA920" s="21"/>
      <c r="AC920" s="21"/>
      <c r="AE920" s="21"/>
      <c r="AG920" s="21"/>
      <c r="AI920" s="21"/>
      <c r="AK920" s="21"/>
      <c r="AM920" s="21"/>
      <c r="AN920" s="21"/>
    </row>
    <row r="921">
      <c r="A921" s="21"/>
      <c r="B921" s="21"/>
      <c r="D921" s="21"/>
      <c r="F921" s="21"/>
      <c r="G921" s="21"/>
      <c r="I921" s="21"/>
      <c r="K921" s="21"/>
      <c r="M921" s="21"/>
      <c r="O921" s="21"/>
      <c r="Q921" s="21"/>
      <c r="S921" s="21"/>
      <c r="U921" s="21"/>
      <c r="W921" s="21"/>
      <c r="Y921" s="21"/>
      <c r="AA921" s="21"/>
      <c r="AC921" s="21"/>
      <c r="AE921" s="21"/>
      <c r="AG921" s="21"/>
      <c r="AI921" s="21"/>
      <c r="AK921" s="21"/>
      <c r="AM921" s="21"/>
      <c r="AN921" s="21"/>
    </row>
    <row r="922">
      <c r="A922" s="21"/>
      <c r="B922" s="21"/>
      <c r="D922" s="21"/>
      <c r="F922" s="21"/>
      <c r="G922" s="21"/>
      <c r="I922" s="21"/>
      <c r="K922" s="21"/>
      <c r="M922" s="21"/>
      <c r="O922" s="21"/>
      <c r="Q922" s="21"/>
      <c r="S922" s="21"/>
      <c r="U922" s="21"/>
      <c r="W922" s="21"/>
      <c r="Y922" s="21"/>
      <c r="AA922" s="21"/>
      <c r="AC922" s="21"/>
      <c r="AE922" s="21"/>
      <c r="AG922" s="21"/>
      <c r="AI922" s="21"/>
      <c r="AK922" s="21"/>
      <c r="AM922" s="21"/>
      <c r="AN922" s="21"/>
    </row>
    <row r="923">
      <c r="A923" s="21"/>
      <c r="B923" s="21"/>
      <c r="D923" s="21"/>
      <c r="F923" s="21"/>
      <c r="G923" s="21"/>
      <c r="I923" s="21"/>
      <c r="K923" s="21"/>
      <c r="M923" s="21"/>
      <c r="O923" s="21"/>
      <c r="Q923" s="21"/>
      <c r="S923" s="21"/>
      <c r="U923" s="21"/>
      <c r="W923" s="21"/>
      <c r="Y923" s="21"/>
      <c r="AA923" s="21"/>
      <c r="AC923" s="21"/>
      <c r="AE923" s="21"/>
      <c r="AG923" s="21"/>
      <c r="AI923" s="21"/>
      <c r="AK923" s="21"/>
      <c r="AM923" s="21"/>
      <c r="AN923" s="21"/>
    </row>
    <row r="924">
      <c r="A924" s="21"/>
      <c r="B924" s="21"/>
      <c r="D924" s="21"/>
      <c r="F924" s="21"/>
      <c r="G924" s="21"/>
      <c r="I924" s="21"/>
      <c r="K924" s="21"/>
      <c r="M924" s="21"/>
      <c r="O924" s="21"/>
      <c r="Q924" s="21"/>
      <c r="S924" s="21"/>
      <c r="U924" s="21"/>
      <c r="W924" s="21"/>
      <c r="Y924" s="21"/>
      <c r="AA924" s="21"/>
      <c r="AC924" s="21"/>
      <c r="AE924" s="21"/>
      <c r="AG924" s="21"/>
      <c r="AI924" s="21"/>
      <c r="AK924" s="21"/>
      <c r="AM924" s="21"/>
      <c r="AN924" s="21"/>
    </row>
    <row r="925">
      <c r="A925" s="21"/>
      <c r="B925" s="21"/>
      <c r="D925" s="21"/>
      <c r="F925" s="21"/>
      <c r="G925" s="21"/>
      <c r="I925" s="21"/>
      <c r="K925" s="21"/>
      <c r="M925" s="21"/>
      <c r="O925" s="21"/>
      <c r="Q925" s="21"/>
      <c r="S925" s="21"/>
      <c r="U925" s="21"/>
      <c r="W925" s="21"/>
      <c r="Y925" s="21"/>
      <c r="AA925" s="21"/>
      <c r="AC925" s="21"/>
      <c r="AE925" s="21"/>
      <c r="AG925" s="21"/>
      <c r="AI925" s="21"/>
      <c r="AK925" s="21"/>
      <c r="AM925" s="21"/>
      <c r="AN925" s="21"/>
    </row>
    <row r="926">
      <c r="A926" s="21"/>
      <c r="B926" s="21"/>
      <c r="D926" s="21"/>
      <c r="F926" s="21"/>
      <c r="G926" s="21"/>
      <c r="I926" s="21"/>
      <c r="K926" s="21"/>
      <c r="M926" s="21"/>
      <c r="O926" s="21"/>
      <c r="Q926" s="21"/>
      <c r="S926" s="21"/>
      <c r="U926" s="21"/>
      <c r="W926" s="21"/>
      <c r="Y926" s="21"/>
      <c r="AA926" s="21"/>
      <c r="AC926" s="21"/>
      <c r="AE926" s="21"/>
      <c r="AG926" s="21"/>
      <c r="AI926" s="21"/>
      <c r="AK926" s="21"/>
      <c r="AM926" s="21"/>
      <c r="AN926" s="21"/>
    </row>
    <row r="927">
      <c r="A927" s="21"/>
      <c r="B927" s="21"/>
      <c r="D927" s="21"/>
      <c r="F927" s="21"/>
      <c r="G927" s="21"/>
      <c r="I927" s="21"/>
      <c r="K927" s="21"/>
      <c r="M927" s="21"/>
      <c r="O927" s="21"/>
      <c r="Q927" s="21"/>
      <c r="S927" s="21"/>
      <c r="U927" s="21"/>
      <c r="W927" s="21"/>
      <c r="Y927" s="21"/>
      <c r="AA927" s="21"/>
      <c r="AC927" s="21"/>
      <c r="AE927" s="21"/>
      <c r="AG927" s="21"/>
      <c r="AI927" s="21"/>
      <c r="AK927" s="21"/>
      <c r="AM927" s="21"/>
      <c r="AN927" s="21"/>
    </row>
    <row r="928">
      <c r="A928" s="21"/>
      <c r="B928" s="21"/>
      <c r="D928" s="21"/>
      <c r="F928" s="21"/>
      <c r="G928" s="21"/>
      <c r="I928" s="21"/>
      <c r="K928" s="21"/>
      <c r="M928" s="21"/>
      <c r="O928" s="21"/>
      <c r="Q928" s="21"/>
      <c r="S928" s="21"/>
      <c r="U928" s="21"/>
      <c r="W928" s="21"/>
      <c r="Y928" s="21"/>
      <c r="AA928" s="21"/>
      <c r="AC928" s="21"/>
      <c r="AE928" s="21"/>
      <c r="AG928" s="21"/>
      <c r="AI928" s="21"/>
      <c r="AK928" s="21"/>
      <c r="AM928" s="21"/>
      <c r="AN928" s="21"/>
    </row>
    <row r="929">
      <c r="A929" s="21"/>
      <c r="B929" s="21"/>
      <c r="D929" s="21"/>
      <c r="F929" s="21"/>
      <c r="G929" s="21"/>
      <c r="I929" s="21"/>
      <c r="K929" s="21"/>
      <c r="M929" s="21"/>
      <c r="O929" s="21"/>
      <c r="Q929" s="21"/>
      <c r="S929" s="21"/>
      <c r="U929" s="21"/>
      <c r="W929" s="21"/>
      <c r="Y929" s="21"/>
      <c r="AA929" s="21"/>
      <c r="AC929" s="21"/>
      <c r="AE929" s="21"/>
      <c r="AG929" s="21"/>
      <c r="AI929" s="21"/>
      <c r="AK929" s="21"/>
      <c r="AM929" s="21"/>
      <c r="AN929" s="21"/>
    </row>
    <row r="930">
      <c r="A930" s="21"/>
      <c r="B930" s="21"/>
      <c r="D930" s="21"/>
      <c r="F930" s="21"/>
      <c r="G930" s="21"/>
      <c r="I930" s="21"/>
      <c r="K930" s="21"/>
      <c r="M930" s="21"/>
      <c r="O930" s="21"/>
      <c r="Q930" s="21"/>
      <c r="S930" s="21"/>
      <c r="U930" s="21"/>
      <c r="W930" s="21"/>
      <c r="Y930" s="21"/>
      <c r="AA930" s="21"/>
      <c r="AC930" s="21"/>
      <c r="AE930" s="21"/>
      <c r="AG930" s="21"/>
      <c r="AI930" s="21"/>
      <c r="AK930" s="21"/>
      <c r="AM930" s="21"/>
      <c r="AN930" s="21"/>
    </row>
    <row r="931">
      <c r="A931" s="21"/>
      <c r="B931" s="21"/>
      <c r="D931" s="21"/>
      <c r="F931" s="21"/>
      <c r="G931" s="21"/>
      <c r="I931" s="21"/>
      <c r="K931" s="21"/>
      <c r="M931" s="21"/>
      <c r="O931" s="21"/>
      <c r="Q931" s="21"/>
      <c r="S931" s="21"/>
      <c r="U931" s="21"/>
      <c r="W931" s="21"/>
      <c r="Y931" s="21"/>
      <c r="AA931" s="21"/>
      <c r="AC931" s="21"/>
      <c r="AE931" s="21"/>
      <c r="AG931" s="21"/>
      <c r="AI931" s="21"/>
      <c r="AK931" s="21"/>
      <c r="AM931" s="21"/>
      <c r="AN931" s="21"/>
    </row>
    <row r="932">
      <c r="A932" s="21"/>
      <c r="B932" s="21"/>
      <c r="D932" s="21"/>
      <c r="F932" s="21"/>
      <c r="G932" s="21"/>
      <c r="I932" s="21"/>
      <c r="K932" s="21"/>
      <c r="M932" s="21"/>
      <c r="O932" s="21"/>
      <c r="Q932" s="21"/>
      <c r="S932" s="21"/>
      <c r="U932" s="21"/>
      <c r="W932" s="21"/>
      <c r="Y932" s="21"/>
      <c r="AA932" s="21"/>
      <c r="AC932" s="21"/>
      <c r="AE932" s="21"/>
      <c r="AG932" s="21"/>
      <c r="AI932" s="21"/>
      <c r="AK932" s="21"/>
      <c r="AM932" s="21"/>
      <c r="AN932" s="21"/>
    </row>
    <row r="933">
      <c r="A933" s="21"/>
      <c r="B933" s="21"/>
      <c r="D933" s="21"/>
      <c r="F933" s="21"/>
      <c r="G933" s="21"/>
      <c r="I933" s="21"/>
      <c r="K933" s="21"/>
      <c r="M933" s="21"/>
      <c r="O933" s="21"/>
      <c r="Q933" s="21"/>
      <c r="S933" s="21"/>
      <c r="U933" s="21"/>
      <c r="W933" s="21"/>
      <c r="Y933" s="21"/>
      <c r="AA933" s="21"/>
      <c r="AC933" s="21"/>
      <c r="AE933" s="21"/>
      <c r="AG933" s="21"/>
      <c r="AI933" s="21"/>
      <c r="AK933" s="21"/>
      <c r="AM933" s="21"/>
      <c r="AN933" s="21"/>
    </row>
    <row r="934">
      <c r="A934" s="21"/>
      <c r="B934" s="21"/>
      <c r="D934" s="21"/>
      <c r="F934" s="21"/>
      <c r="G934" s="21"/>
      <c r="I934" s="21"/>
      <c r="K934" s="21"/>
      <c r="M934" s="21"/>
      <c r="O934" s="21"/>
      <c r="Q934" s="21"/>
      <c r="S934" s="21"/>
      <c r="U934" s="21"/>
      <c r="W934" s="21"/>
      <c r="Y934" s="21"/>
      <c r="AA934" s="21"/>
      <c r="AC934" s="21"/>
      <c r="AE934" s="21"/>
      <c r="AG934" s="21"/>
      <c r="AI934" s="21"/>
      <c r="AK934" s="21"/>
      <c r="AM934" s="21"/>
      <c r="AN934" s="21"/>
    </row>
    <row r="935">
      <c r="A935" s="21"/>
      <c r="B935" s="21"/>
      <c r="D935" s="21"/>
      <c r="F935" s="21"/>
      <c r="G935" s="21"/>
      <c r="I935" s="21"/>
      <c r="K935" s="21"/>
      <c r="M935" s="21"/>
      <c r="O935" s="21"/>
      <c r="Q935" s="21"/>
      <c r="S935" s="21"/>
      <c r="U935" s="21"/>
      <c r="W935" s="21"/>
      <c r="Y935" s="21"/>
      <c r="AA935" s="21"/>
      <c r="AC935" s="21"/>
      <c r="AE935" s="21"/>
      <c r="AG935" s="21"/>
      <c r="AI935" s="21"/>
      <c r="AK935" s="21"/>
      <c r="AM935" s="21"/>
      <c r="AN935" s="21"/>
    </row>
    <row r="936">
      <c r="A936" s="21"/>
      <c r="B936" s="21"/>
      <c r="D936" s="21"/>
      <c r="F936" s="21"/>
      <c r="G936" s="21"/>
      <c r="I936" s="21"/>
      <c r="K936" s="21"/>
      <c r="M936" s="21"/>
      <c r="O936" s="21"/>
      <c r="Q936" s="21"/>
      <c r="S936" s="21"/>
      <c r="U936" s="21"/>
      <c r="W936" s="21"/>
      <c r="Y936" s="21"/>
      <c r="AA936" s="21"/>
      <c r="AC936" s="21"/>
      <c r="AE936" s="21"/>
      <c r="AG936" s="21"/>
      <c r="AI936" s="21"/>
      <c r="AK936" s="21"/>
      <c r="AM936" s="21"/>
      <c r="AN936" s="21"/>
    </row>
    <row r="937">
      <c r="A937" s="21"/>
      <c r="B937" s="21"/>
      <c r="D937" s="21"/>
      <c r="F937" s="21"/>
      <c r="G937" s="21"/>
      <c r="I937" s="21"/>
      <c r="K937" s="21"/>
      <c r="M937" s="21"/>
      <c r="O937" s="21"/>
      <c r="Q937" s="21"/>
      <c r="S937" s="21"/>
      <c r="U937" s="21"/>
      <c r="W937" s="21"/>
      <c r="Y937" s="21"/>
      <c r="AA937" s="21"/>
      <c r="AC937" s="21"/>
      <c r="AE937" s="21"/>
      <c r="AG937" s="21"/>
      <c r="AI937" s="21"/>
      <c r="AK937" s="21"/>
      <c r="AM937" s="21"/>
      <c r="AN937" s="21"/>
    </row>
    <row r="938">
      <c r="A938" s="21"/>
      <c r="B938" s="21"/>
      <c r="D938" s="21"/>
      <c r="F938" s="21"/>
      <c r="G938" s="21"/>
      <c r="I938" s="21"/>
      <c r="K938" s="21"/>
      <c r="M938" s="21"/>
      <c r="O938" s="21"/>
      <c r="Q938" s="21"/>
      <c r="S938" s="21"/>
      <c r="U938" s="21"/>
      <c r="W938" s="21"/>
      <c r="Y938" s="21"/>
      <c r="AA938" s="21"/>
      <c r="AC938" s="21"/>
      <c r="AE938" s="21"/>
      <c r="AG938" s="21"/>
      <c r="AI938" s="21"/>
      <c r="AK938" s="21"/>
      <c r="AM938" s="21"/>
      <c r="AN938" s="21"/>
    </row>
    <row r="939">
      <c r="A939" s="21"/>
      <c r="B939" s="21"/>
      <c r="D939" s="21"/>
      <c r="F939" s="21"/>
      <c r="G939" s="21"/>
      <c r="I939" s="21"/>
      <c r="K939" s="21"/>
      <c r="M939" s="21"/>
      <c r="O939" s="21"/>
      <c r="Q939" s="21"/>
      <c r="S939" s="21"/>
      <c r="U939" s="21"/>
      <c r="W939" s="21"/>
      <c r="Y939" s="21"/>
      <c r="AA939" s="21"/>
      <c r="AC939" s="21"/>
      <c r="AE939" s="21"/>
      <c r="AG939" s="21"/>
      <c r="AI939" s="21"/>
      <c r="AK939" s="21"/>
      <c r="AM939" s="21"/>
      <c r="AN939" s="21"/>
    </row>
    <row r="940">
      <c r="A940" s="21"/>
      <c r="B940" s="21"/>
      <c r="D940" s="21"/>
      <c r="F940" s="21"/>
      <c r="G940" s="21"/>
      <c r="I940" s="21"/>
      <c r="K940" s="21"/>
      <c r="M940" s="21"/>
      <c r="O940" s="21"/>
      <c r="Q940" s="21"/>
      <c r="S940" s="21"/>
      <c r="U940" s="21"/>
      <c r="W940" s="21"/>
      <c r="Y940" s="21"/>
      <c r="AA940" s="21"/>
      <c r="AC940" s="21"/>
      <c r="AE940" s="21"/>
      <c r="AG940" s="21"/>
      <c r="AI940" s="21"/>
      <c r="AK940" s="21"/>
      <c r="AM940" s="21"/>
      <c r="AN940" s="21"/>
    </row>
    <row r="941">
      <c r="A941" s="21"/>
      <c r="B941" s="21"/>
      <c r="D941" s="21"/>
      <c r="F941" s="21"/>
      <c r="G941" s="21"/>
      <c r="I941" s="21"/>
      <c r="K941" s="21"/>
      <c r="M941" s="21"/>
      <c r="O941" s="21"/>
      <c r="Q941" s="21"/>
      <c r="S941" s="21"/>
      <c r="U941" s="21"/>
      <c r="W941" s="21"/>
      <c r="Y941" s="21"/>
      <c r="AA941" s="21"/>
      <c r="AC941" s="21"/>
      <c r="AE941" s="21"/>
      <c r="AG941" s="21"/>
      <c r="AI941" s="21"/>
      <c r="AK941" s="21"/>
      <c r="AM941" s="21"/>
      <c r="AN941" s="21"/>
    </row>
    <row r="942">
      <c r="A942" s="21"/>
      <c r="B942" s="21"/>
      <c r="D942" s="21"/>
      <c r="F942" s="21"/>
      <c r="G942" s="21"/>
      <c r="I942" s="21"/>
      <c r="K942" s="21"/>
      <c r="M942" s="21"/>
      <c r="O942" s="21"/>
      <c r="Q942" s="21"/>
      <c r="S942" s="21"/>
      <c r="U942" s="21"/>
      <c r="W942" s="21"/>
      <c r="Y942" s="21"/>
      <c r="AA942" s="21"/>
      <c r="AC942" s="21"/>
      <c r="AE942" s="21"/>
      <c r="AG942" s="21"/>
      <c r="AI942" s="21"/>
      <c r="AK942" s="21"/>
      <c r="AM942" s="21"/>
      <c r="AN942" s="21"/>
    </row>
    <row r="943">
      <c r="A943" s="21"/>
      <c r="B943" s="21"/>
      <c r="D943" s="21"/>
      <c r="F943" s="21"/>
      <c r="G943" s="21"/>
      <c r="I943" s="21"/>
      <c r="K943" s="21"/>
      <c r="M943" s="21"/>
      <c r="O943" s="21"/>
      <c r="Q943" s="21"/>
      <c r="S943" s="21"/>
      <c r="U943" s="21"/>
      <c r="W943" s="21"/>
      <c r="Y943" s="21"/>
      <c r="AA943" s="21"/>
      <c r="AC943" s="21"/>
      <c r="AE943" s="21"/>
      <c r="AG943" s="21"/>
      <c r="AI943" s="21"/>
      <c r="AK943" s="21"/>
      <c r="AM943" s="21"/>
      <c r="AN943" s="21"/>
    </row>
    <row r="944">
      <c r="A944" s="21"/>
      <c r="B944" s="21"/>
      <c r="D944" s="21"/>
      <c r="F944" s="21"/>
      <c r="G944" s="21"/>
      <c r="I944" s="21"/>
      <c r="K944" s="21"/>
      <c r="M944" s="21"/>
      <c r="O944" s="21"/>
      <c r="Q944" s="21"/>
      <c r="S944" s="21"/>
      <c r="U944" s="21"/>
      <c r="W944" s="21"/>
      <c r="Y944" s="21"/>
      <c r="AA944" s="21"/>
      <c r="AC944" s="21"/>
      <c r="AE944" s="21"/>
      <c r="AG944" s="21"/>
      <c r="AI944" s="21"/>
      <c r="AK944" s="21"/>
      <c r="AM944" s="21"/>
      <c r="AN944" s="21"/>
    </row>
    <row r="945">
      <c r="A945" s="21"/>
      <c r="B945" s="21"/>
      <c r="D945" s="21"/>
      <c r="F945" s="21"/>
      <c r="G945" s="21"/>
      <c r="I945" s="21"/>
      <c r="K945" s="21"/>
      <c r="M945" s="21"/>
      <c r="O945" s="21"/>
      <c r="Q945" s="21"/>
      <c r="S945" s="21"/>
      <c r="U945" s="21"/>
      <c r="W945" s="21"/>
      <c r="Y945" s="21"/>
      <c r="AA945" s="21"/>
      <c r="AC945" s="21"/>
      <c r="AE945" s="21"/>
      <c r="AG945" s="21"/>
      <c r="AI945" s="21"/>
      <c r="AK945" s="21"/>
      <c r="AM945" s="21"/>
      <c r="AN945" s="21"/>
    </row>
    <row r="946">
      <c r="A946" s="21"/>
      <c r="B946" s="21"/>
      <c r="D946" s="21"/>
      <c r="F946" s="21"/>
      <c r="G946" s="21"/>
      <c r="I946" s="21"/>
      <c r="K946" s="21"/>
      <c r="M946" s="21"/>
      <c r="O946" s="21"/>
      <c r="Q946" s="21"/>
      <c r="S946" s="21"/>
      <c r="U946" s="21"/>
      <c r="W946" s="21"/>
      <c r="Y946" s="21"/>
      <c r="AA946" s="21"/>
      <c r="AC946" s="21"/>
      <c r="AE946" s="21"/>
      <c r="AG946" s="21"/>
      <c r="AI946" s="21"/>
      <c r="AK946" s="21"/>
      <c r="AM946" s="21"/>
      <c r="AN946" s="21"/>
    </row>
    <row r="947">
      <c r="A947" s="21"/>
      <c r="B947" s="21"/>
      <c r="D947" s="21"/>
      <c r="F947" s="21"/>
      <c r="G947" s="21"/>
      <c r="I947" s="21"/>
      <c r="K947" s="21"/>
      <c r="M947" s="21"/>
      <c r="O947" s="21"/>
      <c r="Q947" s="21"/>
      <c r="S947" s="21"/>
      <c r="U947" s="21"/>
      <c r="W947" s="21"/>
      <c r="Y947" s="21"/>
      <c r="AA947" s="21"/>
      <c r="AC947" s="21"/>
      <c r="AE947" s="21"/>
      <c r="AG947" s="21"/>
      <c r="AI947" s="21"/>
      <c r="AK947" s="21"/>
      <c r="AM947" s="21"/>
      <c r="AN947" s="21"/>
    </row>
    <row r="948">
      <c r="A948" s="21"/>
      <c r="B948" s="21"/>
      <c r="D948" s="21"/>
      <c r="F948" s="21"/>
      <c r="G948" s="21"/>
      <c r="I948" s="21"/>
      <c r="K948" s="21"/>
      <c r="M948" s="21"/>
      <c r="O948" s="21"/>
      <c r="Q948" s="21"/>
      <c r="S948" s="21"/>
      <c r="U948" s="21"/>
      <c r="W948" s="21"/>
      <c r="Y948" s="21"/>
      <c r="AA948" s="21"/>
      <c r="AC948" s="21"/>
      <c r="AE948" s="21"/>
      <c r="AG948" s="21"/>
      <c r="AI948" s="21"/>
      <c r="AK948" s="21"/>
      <c r="AM948" s="21"/>
      <c r="AN948" s="21"/>
    </row>
    <row r="949">
      <c r="A949" s="21"/>
      <c r="B949" s="21"/>
      <c r="D949" s="21"/>
      <c r="F949" s="21"/>
      <c r="G949" s="21"/>
      <c r="I949" s="21"/>
      <c r="K949" s="21"/>
      <c r="M949" s="21"/>
      <c r="O949" s="21"/>
      <c r="Q949" s="21"/>
      <c r="S949" s="21"/>
      <c r="U949" s="21"/>
      <c r="W949" s="21"/>
      <c r="Y949" s="21"/>
      <c r="AA949" s="21"/>
      <c r="AC949" s="21"/>
      <c r="AE949" s="21"/>
      <c r="AG949" s="21"/>
      <c r="AI949" s="21"/>
      <c r="AK949" s="21"/>
      <c r="AM949" s="21"/>
      <c r="AN949" s="21"/>
    </row>
    <row r="950">
      <c r="A950" s="21"/>
      <c r="B950" s="21"/>
      <c r="D950" s="21"/>
      <c r="F950" s="21"/>
      <c r="G950" s="21"/>
      <c r="I950" s="21"/>
      <c r="K950" s="21"/>
      <c r="M950" s="21"/>
      <c r="O950" s="21"/>
      <c r="Q950" s="21"/>
      <c r="S950" s="21"/>
      <c r="U950" s="21"/>
      <c r="W950" s="21"/>
      <c r="Y950" s="21"/>
      <c r="AA950" s="21"/>
      <c r="AC950" s="21"/>
      <c r="AE950" s="21"/>
      <c r="AG950" s="21"/>
      <c r="AI950" s="21"/>
      <c r="AK950" s="21"/>
      <c r="AM950" s="21"/>
      <c r="AN950" s="21"/>
    </row>
    <row r="951">
      <c r="A951" s="21"/>
      <c r="B951" s="21"/>
      <c r="D951" s="21"/>
      <c r="F951" s="21"/>
      <c r="G951" s="21"/>
      <c r="I951" s="21"/>
      <c r="K951" s="21"/>
      <c r="M951" s="21"/>
      <c r="O951" s="21"/>
      <c r="Q951" s="21"/>
      <c r="S951" s="21"/>
      <c r="U951" s="21"/>
      <c r="W951" s="21"/>
      <c r="Y951" s="21"/>
      <c r="AA951" s="21"/>
      <c r="AC951" s="21"/>
      <c r="AE951" s="21"/>
      <c r="AG951" s="21"/>
      <c r="AI951" s="21"/>
      <c r="AK951" s="21"/>
      <c r="AM951" s="21"/>
      <c r="AN951" s="21"/>
    </row>
    <row r="952">
      <c r="A952" s="21"/>
      <c r="B952" s="21"/>
      <c r="D952" s="21"/>
      <c r="F952" s="21"/>
      <c r="G952" s="21"/>
      <c r="I952" s="21"/>
      <c r="K952" s="21"/>
      <c r="M952" s="21"/>
      <c r="O952" s="21"/>
      <c r="Q952" s="21"/>
      <c r="S952" s="21"/>
      <c r="U952" s="21"/>
      <c r="W952" s="21"/>
      <c r="Y952" s="21"/>
      <c r="AA952" s="21"/>
      <c r="AC952" s="21"/>
      <c r="AE952" s="21"/>
      <c r="AG952" s="21"/>
      <c r="AI952" s="21"/>
      <c r="AK952" s="21"/>
      <c r="AM952" s="21"/>
      <c r="AN952" s="21"/>
    </row>
    <row r="953">
      <c r="A953" s="21"/>
      <c r="B953" s="21"/>
      <c r="D953" s="21"/>
      <c r="F953" s="21"/>
      <c r="G953" s="21"/>
      <c r="I953" s="21"/>
      <c r="K953" s="21"/>
      <c r="M953" s="21"/>
      <c r="O953" s="21"/>
      <c r="Q953" s="21"/>
      <c r="S953" s="21"/>
      <c r="U953" s="21"/>
      <c r="W953" s="21"/>
      <c r="Y953" s="21"/>
      <c r="AA953" s="21"/>
      <c r="AC953" s="21"/>
      <c r="AE953" s="21"/>
      <c r="AG953" s="21"/>
      <c r="AI953" s="21"/>
      <c r="AK953" s="21"/>
      <c r="AM953" s="21"/>
      <c r="AN953" s="21"/>
    </row>
    <row r="954">
      <c r="A954" s="21"/>
      <c r="B954" s="21"/>
      <c r="D954" s="21"/>
      <c r="F954" s="21"/>
      <c r="G954" s="21"/>
      <c r="I954" s="21"/>
      <c r="K954" s="21"/>
      <c r="M954" s="21"/>
      <c r="O954" s="21"/>
      <c r="Q954" s="21"/>
      <c r="S954" s="21"/>
      <c r="U954" s="21"/>
      <c r="W954" s="21"/>
      <c r="Y954" s="21"/>
      <c r="AA954" s="21"/>
      <c r="AC954" s="21"/>
      <c r="AE954" s="21"/>
      <c r="AG954" s="21"/>
      <c r="AI954" s="21"/>
      <c r="AK954" s="21"/>
      <c r="AM954" s="21"/>
      <c r="AN954" s="21"/>
    </row>
    <row r="955">
      <c r="A955" s="21"/>
      <c r="B955" s="21"/>
      <c r="D955" s="21"/>
      <c r="F955" s="21"/>
      <c r="G955" s="21"/>
      <c r="I955" s="21"/>
      <c r="K955" s="21"/>
      <c r="M955" s="21"/>
      <c r="O955" s="21"/>
      <c r="Q955" s="21"/>
      <c r="S955" s="21"/>
      <c r="U955" s="21"/>
      <c r="W955" s="21"/>
      <c r="Y955" s="21"/>
      <c r="AA955" s="21"/>
      <c r="AC955" s="21"/>
      <c r="AE955" s="21"/>
      <c r="AG955" s="21"/>
      <c r="AI955" s="21"/>
      <c r="AK955" s="21"/>
      <c r="AM955" s="21"/>
      <c r="AN955" s="21"/>
    </row>
    <row r="956">
      <c r="A956" s="21"/>
      <c r="B956" s="21"/>
      <c r="D956" s="21"/>
      <c r="F956" s="21"/>
      <c r="G956" s="21"/>
      <c r="I956" s="21"/>
      <c r="K956" s="21"/>
      <c r="M956" s="21"/>
      <c r="O956" s="21"/>
      <c r="Q956" s="21"/>
      <c r="S956" s="21"/>
      <c r="U956" s="21"/>
      <c r="W956" s="21"/>
      <c r="Y956" s="21"/>
      <c r="AA956" s="21"/>
      <c r="AC956" s="21"/>
      <c r="AE956" s="21"/>
      <c r="AG956" s="21"/>
      <c r="AI956" s="21"/>
      <c r="AK956" s="21"/>
      <c r="AM956" s="21"/>
      <c r="AN956" s="21"/>
    </row>
    <row r="957">
      <c r="A957" s="21"/>
      <c r="B957" s="21"/>
      <c r="D957" s="21"/>
      <c r="F957" s="21"/>
      <c r="G957" s="21"/>
      <c r="I957" s="21"/>
      <c r="K957" s="21"/>
      <c r="M957" s="21"/>
      <c r="O957" s="21"/>
      <c r="Q957" s="21"/>
      <c r="S957" s="21"/>
      <c r="U957" s="21"/>
      <c r="W957" s="21"/>
      <c r="Y957" s="21"/>
      <c r="AA957" s="21"/>
      <c r="AC957" s="21"/>
      <c r="AE957" s="21"/>
      <c r="AG957" s="21"/>
      <c r="AI957" s="21"/>
      <c r="AK957" s="21"/>
      <c r="AM957" s="21"/>
      <c r="AN957" s="21"/>
    </row>
    <row r="958">
      <c r="A958" s="21"/>
      <c r="B958" s="21"/>
      <c r="D958" s="21"/>
      <c r="F958" s="21"/>
      <c r="G958" s="21"/>
      <c r="I958" s="21"/>
      <c r="K958" s="21"/>
      <c r="M958" s="21"/>
      <c r="O958" s="21"/>
      <c r="Q958" s="21"/>
      <c r="S958" s="21"/>
      <c r="U958" s="21"/>
      <c r="W958" s="21"/>
      <c r="Y958" s="21"/>
      <c r="AA958" s="21"/>
      <c r="AC958" s="21"/>
      <c r="AE958" s="21"/>
      <c r="AG958" s="21"/>
      <c r="AI958" s="21"/>
      <c r="AK958" s="21"/>
      <c r="AM958" s="21"/>
      <c r="AN958" s="21"/>
    </row>
    <row r="959">
      <c r="A959" s="21"/>
      <c r="B959" s="21"/>
      <c r="D959" s="21"/>
      <c r="F959" s="21"/>
      <c r="G959" s="21"/>
      <c r="I959" s="21"/>
      <c r="K959" s="21"/>
      <c r="M959" s="21"/>
      <c r="O959" s="21"/>
      <c r="Q959" s="21"/>
      <c r="S959" s="21"/>
      <c r="U959" s="21"/>
      <c r="W959" s="21"/>
      <c r="Y959" s="21"/>
      <c r="AA959" s="21"/>
      <c r="AC959" s="21"/>
      <c r="AE959" s="21"/>
      <c r="AG959" s="21"/>
      <c r="AI959" s="21"/>
      <c r="AK959" s="21"/>
      <c r="AM959" s="21"/>
      <c r="AN959" s="21"/>
    </row>
    <row r="960">
      <c r="A960" s="21"/>
      <c r="B960" s="21"/>
      <c r="D960" s="21"/>
      <c r="F960" s="21"/>
      <c r="G960" s="21"/>
      <c r="I960" s="21"/>
      <c r="K960" s="21"/>
      <c r="M960" s="21"/>
      <c r="O960" s="21"/>
      <c r="Q960" s="21"/>
      <c r="S960" s="21"/>
      <c r="U960" s="21"/>
      <c r="W960" s="21"/>
      <c r="Y960" s="21"/>
      <c r="AA960" s="21"/>
      <c r="AC960" s="21"/>
      <c r="AE960" s="21"/>
      <c r="AG960" s="21"/>
      <c r="AI960" s="21"/>
      <c r="AK960" s="21"/>
      <c r="AM960" s="21"/>
      <c r="AN960" s="21"/>
    </row>
    <row r="961">
      <c r="A961" s="21"/>
      <c r="B961" s="21"/>
      <c r="D961" s="21"/>
      <c r="F961" s="21"/>
      <c r="G961" s="21"/>
      <c r="I961" s="21"/>
      <c r="K961" s="21"/>
      <c r="M961" s="21"/>
      <c r="O961" s="21"/>
      <c r="Q961" s="21"/>
      <c r="S961" s="21"/>
      <c r="U961" s="21"/>
      <c r="W961" s="21"/>
      <c r="Y961" s="21"/>
      <c r="AA961" s="21"/>
      <c r="AC961" s="21"/>
      <c r="AE961" s="21"/>
      <c r="AG961" s="21"/>
      <c r="AI961" s="21"/>
      <c r="AK961" s="21"/>
      <c r="AM961" s="21"/>
      <c r="AN961" s="21"/>
    </row>
    <row r="962">
      <c r="A962" s="21"/>
      <c r="B962" s="21"/>
      <c r="D962" s="21"/>
      <c r="F962" s="21"/>
      <c r="G962" s="21"/>
      <c r="I962" s="21"/>
      <c r="K962" s="21"/>
      <c r="M962" s="21"/>
      <c r="O962" s="21"/>
      <c r="Q962" s="21"/>
      <c r="S962" s="21"/>
      <c r="U962" s="21"/>
      <c r="W962" s="21"/>
      <c r="Y962" s="21"/>
      <c r="AA962" s="21"/>
      <c r="AC962" s="21"/>
      <c r="AE962" s="21"/>
      <c r="AG962" s="21"/>
      <c r="AI962" s="21"/>
      <c r="AK962" s="21"/>
      <c r="AM962" s="21"/>
      <c r="AN962" s="21"/>
    </row>
    <row r="963">
      <c r="A963" s="21"/>
      <c r="B963" s="21"/>
      <c r="D963" s="21"/>
      <c r="F963" s="21"/>
      <c r="G963" s="21"/>
      <c r="I963" s="21"/>
      <c r="K963" s="21"/>
      <c r="M963" s="21"/>
      <c r="O963" s="21"/>
      <c r="Q963" s="21"/>
      <c r="S963" s="21"/>
      <c r="U963" s="21"/>
      <c r="W963" s="21"/>
      <c r="Y963" s="21"/>
      <c r="AA963" s="21"/>
      <c r="AC963" s="21"/>
      <c r="AE963" s="21"/>
      <c r="AG963" s="21"/>
      <c r="AI963" s="21"/>
      <c r="AK963" s="21"/>
      <c r="AM963" s="21"/>
      <c r="AN963" s="21"/>
    </row>
    <row r="964">
      <c r="A964" s="21"/>
      <c r="B964" s="21"/>
      <c r="D964" s="21"/>
      <c r="F964" s="21"/>
      <c r="G964" s="21"/>
      <c r="I964" s="21"/>
      <c r="K964" s="21"/>
      <c r="M964" s="21"/>
      <c r="O964" s="21"/>
      <c r="Q964" s="21"/>
      <c r="S964" s="21"/>
      <c r="U964" s="21"/>
      <c r="W964" s="21"/>
      <c r="Y964" s="21"/>
      <c r="AA964" s="21"/>
      <c r="AC964" s="21"/>
      <c r="AE964" s="21"/>
      <c r="AG964" s="21"/>
      <c r="AI964" s="21"/>
      <c r="AK964" s="21"/>
      <c r="AM964" s="21"/>
      <c r="AN964" s="21"/>
    </row>
    <row r="965">
      <c r="A965" s="21"/>
      <c r="B965" s="21"/>
      <c r="D965" s="21"/>
      <c r="F965" s="21"/>
      <c r="G965" s="21"/>
      <c r="I965" s="21"/>
      <c r="K965" s="21"/>
      <c r="M965" s="21"/>
      <c r="O965" s="21"/>
      <c r="Q965" s="21"/>
      <c r="S965" s="21"/>
      <c r="U965" s="21"/>
      <c r="W965" s="21"/>
      <c r="Y965" s="21"/>
      <c r="AA965" s="21"/>
      <c r="AC965" s="21"/>
      <c r="AE965" s="21"/>
      <c r="AG965" s="21"/>
      <c r="AI965" s="21"/>
      <c r="AK965" s="21"/>
      <c r="AM965" s="21"/>
      <c r="AN965" s="21"/>
    </row>
    <row r="966">
      <c r="A966" s="21"/>
      <c r="B966" s="21"/>
      <c r="D966" s="21"/>
      <c r="F966" s="21"/>
      <c r="G966" s="21"/>
      <c r="I966" s="21"/>
      <c r="K966" s="21"/>
      <c r="M966" s="21"/>
      <c r="O966" s="21"/>
      <c r="Q966" s="21"/>
      <c r="S966" s="21"/>
      <c r="U966" s="21"/>
      <c r="W966" s="21"/>
      <c r="Y966" s="21"/>
      <c r="AA966" s="21"/>
      <c r="AC966" s="21"/>
      <c r="AE966" s="21"/>
      <c r="AG966" s="21"/>
      <c r="AI966" s="21"/>
      <c r="AK966" s="21"/>
      <c r="AM966" s="21"/>
      <c r="AN966" s="21"/>
    </row>
    <row r="967">
      <c r="A967" s="21"/>
      <c r="B967" s="21"/>
      <c r="D967" s="21"/>
      <c r="F967" s="21"/>
      <c r="G967" s="21"/>
      <c r="I967" s="21"/>
      <c r="K967" s="21"/>
      <c r="M967" s="21"/>
      <c r="O967" s="21"/>
      <c r="Q967" s="21"/>
      <c r="S967" s="21"/>
      <c r="U967" s="21"/>
      <c r="W967" s="21"/>
      <c r="Y967" s="21"/>
      <c r="AA967" s="21"/>
      <c r="AC967" s="21"/>
      <c r="AE967" s="21"/>
      <c r="AG967" s="21"/>
      <c r="AI967" s="21"/>
      <c r="AK967" s="21"/>
      <c r="AM967" s="21"/>
      <c r="AN967" s="21"/>
    </row>
    <row r="968">
      <c r="A968" s="21"/>
      <c r="B968" s="21"/>
      <c r="D968" s="21"/>
      <c r="F968" s="21"/>
      <c r="G968" s="21"/>
      <c r="I968" s="21"/>
      <c r="K968" s="21"/>
      <c r="M968" s="21"/>
      <c r="O968" s="21"/>
      <c r="Q968" s="21"/>
      <c r="S968" s="21"/>
      <c r="U968" s="21"/>
      <c r="W968" s="21"/>
      <c r="Y968" s="21"/>
      <c r="AA968" s="21"/>
      <c r="AC968" s="21"/>
      <c r="AE968" s="21"/>
      <c r="AG968" s="21"/>
      <c r="AI968" s="21"/>
      <c r="AK968" s="21"/>
      <c r="AM968" s="21"/>
      <c r="AN968" s="21"/>
    </row>
    <row r="969">
      <c r="A969" s="21"/>
      <c r="B969" s="21"/>
      <c r="D969" s="21"/>
      <c r="F969" s="21"/>
      <c r="G969" s="21"/>
      <c r="I969" s="21"/>
      <c r="K969" s="21"/>
      <c r="M969" s="21"/>
      <c r="O969" s="21"/>
      <c r="Q969" s="21"/>
      <c r="S969" s="21"/>
      <c r="U969" s="21"/>
      <c r="W969" s="21"/>
      <c r="Y969" s="21"/>
      <c r="AA969" s="21"/>
      <c r="AC969" s="21"/>
      <c r="AE969" s="21"/>
      <c r="AG969" s="21"/>
      <c r="AI969" s="21"/>
      <c r="AK969" s="21"/>
      <c r="AM969" s="21"/>
      <c r="AN969" s="21"/>
    </row>
    <row r="970">
      <c r="A970" s="21"/>
      <c r="B970" s="21"/>
      <c r="D970" s="21"/>
      <c r="F970" s="21"/>
      <c r="G970" s="21"/>
      <c r="I970" s="21"/>
      <c r="K970" s="21"/>
      <c r="M970" s="21"/>
      <c r="O970" s="21"/>
      <c r="Q970" s="21"/>
      <c r="S970" s="21"/>
      <c r="U970" s="21"/>
      <c r="W970" s="21"/>
      <c r="Y970" s="21"/>
      <c r="AA970" s="21"/>
      <c r="AC970" s="21"/>
      <c r="AE970" s="21"/>
      <c r="AG970" s="21"/>
      <c r="AI970" s="21"/>
      <c r="AK970" s="21"/>
      <c r="AM970" s="21"/>
      <c r="AN970" s="21"/>
    </row>
    <row r="971">
      <c r="A971" s="21"/>
      <c r="B971" s="21"/>
      <c r="D971" s="21"/>
      <c r="F971" s="21"/>
      <c r="G971" s="21"/>
      <c r="I971" s="21"/>
      <c r="K971" s="21"/>
      <c r="M971" s="21"/>
      <c r="O971" s="21"/>
      <c r="Q971" s="21"/>
      <c r="S971" s="21"/>
      <c r="U971" s="21"/>
      <c r="W971" s="21"/>
      <c r="Y971" s="21"/>
      <c r="AA971" s="21"/>
      <c r="AC971" s="21"/>
      <c r="AE971" s="21"/>
      <c r="AG971" s="21"/>
      <c r="AI971" s="21"/>
      <c r="AK971" s="21"/>
      <c r="AM971" s="21"/>
      <c r="AN971" s="21"/>
    </row>
    <row r="972">
      <c r="A972" s="21"/>
      <c r="B972" s="21"/>
      <c r="D972" s="21"/>
      <c r="F972" s="21"/>
      <c r="G972" s="21"/>
      <c r="I972" s="21"/>
      <c r="K972" s="21"/>
      <c r="M972" s="21"/>
      <c r="O972" s="21"/>
      <c r="Q972" s="21"/>
      <c r="S972" s="21"/>
      <c r="U972" s="21"/>
      <c r="W972" s="21"/>
      <c r="Y972" s="21"/>
      <c r="AA972" s="21"/>
      <c r="AC972" s="21"/>
      <c r="AE972" s="21"/>
      <c r="AG972" s="21"/>
      <c r="AI972" s="21"/>
      <c r="AK972" s="21"/>
      <c r="AM972" s="21"/>
      <c r="AN972" s="21"/>
    </row>
    <row r="973">
      <c r="A973" s="21"/>
      <c r="B973" s="21"/>
      <c r="D973" s="21"/>
      <c r="F973" s="21"/>
      <c r="G973" s="21"/>
      <c r="I973" s="21"/>
      <c r="K973" s="21"/>
      <c r="M973" s="21"/>
      <c r="O973" s="21"/>
      <c r="Q973" s="21"/>
      <c r="S973" s="21"/>
      <c r="U973" s="21"/>
      <c r="W973" s="21"/>
      <c r="Y973" s="21"/>
      <c r="AA973" s="21"/>
      <c r="AC973" s="21"/>
      <c r="AE973" s="21"/>
      <c r="AG973" s="21"/>
      <c r="AI973" s="21"/>
      <c r="AK973" s="21"/>
      <c r="AM973" s="21"/>
      <c r="AN973" s="21"/>
    </row>
    <row r="974">
      <c r="A974" s="21"/>
      <c r="B974" s="21"/>
      <c r="D974" s="21"/>
      <c r="F974" s="21"/>
      <c r="G974" s="21"/>
      <c r="I974" s="21"/>
      <c r="K974" s="21"/>
      <c r="M974" s="21"/>
      <c r="O974" s="21"/>
      <c r="Q974" s="21"/>
      <c r="S974" s="21"/>
      <c r="U974" s="21"/>
      <c r="W974" s="21"/>
      <c r="Y974" s="21"/>
      <c r="AA974" s="21"/>
      <c r="AC974" s="21"/>
      <c r="AE974" s="21"/>
      <c r="AG974" s="21"/>
      <c r="AI974" s="21"/>
      <c r="AK974" s="21"/>
      <c r="AM974" s="21"/>
      <c r="AN974" s="21"/>
    </row>
    <row r="975">
      <c r="A975" s="21"/>
      <c r="B975" s="21"/>
      <c r="D975" s="21"/>
      <c r="F975" s="21"/>
      <c r="G975" s="21"/>
      <c r="I975" s="21"/>
      <c r="K975" s="21"/>
      <c r="M975" s="21"/>
      <c r="O975" s="21"/>
      <c r="Q975" s="21"/>
      <c r="S975" s="21"/>
      <c r="U975" s="21"/>
      <c r="W975" s="21"/>
      <c r="Y975" s="21"/>
      <c r="AA975" s="21"/>
      <c r="AC975" s="21"/>
      <c r="AE975" s="21"/>
      <c r="AG975" s="21"/>
      <c r="AI975" s="21"/>
      <c r="AK975" s="21"/>
      <c r="AM975" s="21"/>
      <c r="AN975" s="21"/>
    </row>
    <row r="976">
      <c r="A976" s="21"/>
      <c r="B976" s="21"/>
      <c r="D976" s="21"/>
      <c r="F976" s="21"/>
      <c r="G976" s="21"/>
      <c r="I976" s="21"/>
      <c r="K976" s="21"/>
      <c r="M976" s="21"/>
      <c r="O976" s="21"/>
      <c r="Q976" s="21"/>
      <c r="S976" s="21"/>
      <c r="U976" s="21"/>
      <c r="W976" s="21"/>
      <c r="Y976" s="21"/>
      <c r="AA976" s="21"/>
      <c r="AC976" s="21"/>
      <c r="AE976" s="21"/>
      <c r="AG976" s="21"/>
      <c r="AI976" s="21"/>
      <c r="AK976" s="21"/>
      <c r="AM976" s="21"/>
      <c r="AN976" s="21"/>
    </row>
    <row r="977">
      <c r="A977" s="21"/>
      <c r="B977" s="21"/>
      <c r="D977" s="21"/>
      <c r="F977" s="21"/>
      <c r="G977" s="21"/>
      <c r="I977" s="21"/>
      <c r="K977" s="21"/>
      <c r="M977" s="21"/>
      <c r="O977" s="21"/>
      <c r="Q977" s="21"/>
      <c r="S977" s="21"/>
      <c r="U977" s="21"/>
      <c r="W977" s="21"/>
      <c r="Y977" s="21"/>
      <c r="AA977" s="21"/>
      <c r="AC977" s="21"/>
      <c r="AE977" s="21"/>
      <c r="AG977" s="21"/>
      <c r="AI977" s="21"/>
      <c r="AK977" s="21"/>
      <c r="AM977" s="21"/>
      <c r="AN977" s="21"/>
    </row>
    <row r="978">
      <c r="A978" s="21"/>
      <c r="B978" s="21"/>
      <c r="D978" s="21"/>
      <c r="F978" s="21"/>
      <c r="G978" s="21"/>
      <c r="I978" s="21"/>
      <c r="K978" s="21"/>
      <c r="M978" s="21"/>
      <c r="O978" s="21"/>
      <c r="Q978" s="21"/>
      <c r="S978" s="21"/>
      <c r="U978" s="21"/>
      <c r="W978" s="21"/>
      <c r="Y978" s="21"/>
      <c r="AA978" s="21"/>
      <c r="AC978" s="21"/>
      <c r="AE978" s="21"/>
      <c r="AG978" s="21"/>
      <c r="AI978" s="21"/>
      <c r="AK978" s="21"/>
      <c r="AM978" s="21"/>
      <c r="AN978" s="21"/>
    </row>
    <row r="979">
      <c r="A979" s="21"/>
      <c r="B979" s="21"/>
      <c r="D979" s="21"/>
      <c r="F979" s="21"/>
      <c r="G979" s="21"/>
      <c r="I979" s="21"/>
      <c r="K979" s="21"/>
      <c r="M979" s="21"/>
      <c r="O979" s="21"/>
      <c r="Q979" s="21"/>
      <c r="S979" s="21"/>
      <c r="U979" s="21"/>
      <c r="W979" s="21"/>
      <c r="Y979" s="21"/>
      <c r="AA979" s="21"/>
      <c r="AC979" s="21"/>
      <c r="AE979" s="21"/>
      <c r="AG979" s="21"/>
      <c r="AI979" s="21"/>
      <c r="AK979" s="21"/>
      <c r="AM979" s="21"/>
      <c r="AN979" s="21"/>
    </row>
    <row r="980">
      <c r="A980" s="21"/>
      <c r="B980" s="21"/>
      <c r="D980" s="21"/>
      <c r="F980" s="21"/>
      <c r="G980" s="21"/>
      <c r="I980" s="21"/>
      <c r="K980" s="21"/>
      <c r="M980" s="21"/>
      <c r="O980" s="21"/>
      <c r="Q980" s="21"/>
      <c r="S980" s="21"/>
      <c r="U980" s="21"/>
      <c r="W980" s="21"/>
      <c r="Y980" s="21"/>
      <c r="AA980" s="21"/>
      <c r="AC980" s="21"/>
      <c r="AE980" s="21"/>
      <c r="AG980" s="21"/>
      <c r="AI980" s="21"/>
      <c r="AK980" s="21"/>
      <c r="AM980" s="21"/>
      <c r="AN980" s="21"/>
    </row>
    <row r="981">
      <c r="A981" s="21"/>
      <c r="B981" s="21"/>
      <c r="D981" s="21"/>
      <c r="F981" s="21"/>
      <c r="G981" s="21"/>
      <c r="I981" s="21"/>
      <c r="K981" s="21"/>
      <c r="M981" s="21"/>
      <c r="O981" s="21"/>
      <c r="Q981" s="21"/>
      <c r="S981" s="21"/>
      <c r="U981" s="21"/>
      <c r="W981" s="21"/>
      <c r="Y981" s="21"/>
      <c r="AA981" s="21"/>
      <c r="AC981" s="21"/>
      <c r="AE981" s="21"/>
      <c r="AG981" s="21"/>
      <c r="AI981" s="21"/>
      <c r="AK981" s="21"/>
      <c r="AM981" s="21"/>
      <c r="AN981" s="21"/>
    </row>
    <row r="982">
      <c r="A982" s="21"/>
      <c r="B982" s="21"/>
      <c r="D982" s="21"/>
      <c r="F982" s="21"/>
      <c r="G982" s="21"/>
      <c r="I982" s="21"/>
      <c r="K982" s="21"/>
      <c r="M982" s="21"/>
      <c r="O982" s="21"/>
      <c r="Q982" s="21"/>
      <c r="S982" s="21"/>
      <c r="U982" s="21"/>
      <c r="W982" s="21"/>
      <c r="Y982" s="21"/>
      <c r="AA982" s="21"/>
      <c r="AC982" s="21"/>
      <c r="AE982" s="21"/>
      <c r="AG982" s="21"/>
      <c r="AI982" s="21"/>
      <c r="AK982" s="21"/>
      <c r="AM982" s="21"/>
      <c r="AN982" s="21"/>
    </row>
    <row r="983">
      <c r="A983" s="21"/>
      <c r="B983" s="21"/>
      <c r="D983" s="21"/>
      <c r="F983" s="21"/>
      <c r="G983" s="21"/>
      <c r="I983" s="21"/>
      <c r="K983" s="21"/>
      <c r="M983" s="21"/>
      <c r="O983" s="21"/>
      <c r="Q983" s="21"/>
      <c r="S983" s="21"/>
      <c r="U983" s="21"/>
      <c r="W983" s="21"/>
      <c r="Y983" s="21"/>
      <c r="AA983" s="21"/>
      <c r="AC983" s="21"/>
      <c r="AE983" s="21"/>
      <c r="AG983" s="21"/>
      <c r="AI983" s="21"/>
      <c r="AK983" s="21"/>
      <c r="AM983" s="21"/>
      <c r="AN983" s="21"/>
    </row>
    <row r="984">
      <c r="A984" s="21"/>
      <c r="B984" s="21"/>
      <c r="D984" s="21"/>
      <c r="F984" s="21"/>
      <c r="G984" s="21"/>
      <c r="I984" s="21"/>
      <c r="K984" s="21"/>
      <c r="M984" s="21"/>
      <c r="O984" s="21"/>
      <c r="Q984" s="21"/>
      <c r="S984" s="21"/>
      <c r="U984" s="21"/>
      <c r="W984" s="21"/>
      <c r="Y984" s="21"/>
      <c r="AA984" s="21"/>
      <c r="AC984" s="21"/>
      <c r="AE984" s="21"/>
      <c r="AG984" s="21"/>
      <c r="AI984" s="21"/>
      <c r="AK984" s="21"/>
      <c r="AM984" s="21"/>
      <c r="AN984" s="21"/>
    </row>
    <row r="985">
      <c r="A985" s="21"/>
      <c r="B985" s="21"/>
      <c r="D985" s="21"/>
      <c r="F985" s="21"/>
      <c r="G985" s="21"/>
      <c r="I985" s="21"/>
      <c r="K985" s="21"/>
      <c r="M985" s="21"/>
      <c r="O985" s="21"/>
      <c r="Q985" s="21"/>
      <c r="S985" s="21"/>
      <c r="U985" s="21"/>
      <c r="W985" s="21"/>
      <c r="Y985" s="21"/>
      <c r="AA985" s="21"/>
      <c r="AC985" s="21"/>
      <c r="AE985" s="21"/>
      <c r="AG985" s="21"/>
      <c r="AI985" s="21"/>
      <c r="AK985" s="21"/>
      <c r="AM985" s="21"/>
      <c r="AN985" s="21"/>
    </row>
    <row r="986">
      <c r="A986" s="21"/>
      <c r="B986" s="21"/>
      <c r="D986" s="21"/>
      <c r="F986" s="21"/>
      <c r="G986" s="21"/>
      <c r="I986" s="21"/>
      <c r="K986" s="21"/>
      <c r="M986" s="21"/>
      <c r="O986" s="21"/>
      <c r="Q986" s="21"/>
      <c r="S986" s="21"/>
      <c r="U986" s="21"/>
      <c r="W986" s="21"/>
      <c r="Y986" s="21"/>
      <c r="AA986" s="21"/>
      <c r="AC986" s="21"/>
      <c r="AE986" s="21"/>
      <c r="AG986" s="21"/>
      <c r="AI986" s="21"/>
      <c r="AK986" s="21"/>
      <c r="AM986" s="21"/>
      <c r="AN986" s="21"/>
    </row>
    <row r="987">
      <c r="A987" s="21"/>
      <c r="B987" s="21"/>
      <c r="D987" s="21"/>
      <c r="F987" s="21"/>
      <c r="G987" s="21"/>
      <c r="I987" s="21"/>
      <c r="K987" s="21"/>
      <c r="M987" s="21"/>
      <c r="O987" s="21"/>
      <c r="Q987" s="21"/>
      <c r="S987" s="21"/>
      <c r="U987" s="21"/>
      <c r="W987" s="21"/>
      <c r="Y987" s="21"/>
      <c r="AA987" s="21"/>
      <c r="AC987" s="21"/>
      <c r="AE987" s="21"/>
      <c r="AG987" s="21"/>
      <c r="AI987" s="21"/>
      <c r="AK987" s="21"/>
      <c r="AM987" s="21"/>
      <c r="AN987" s="21"/>
    </row>
    <row r="988">
      <c r="A988" s="21"/>
      <c r="B988" s="21"/>
      <c r="D988" s="21"/>
      <c r="F988" s="21"/>
      <c r="G988" s="21"/>
      <c r="I988" s="21"/>
      <c r="K988" s="21"/>
      <c r="M988" s="21"/>
      <c r="O988" s="21"/>
      <c r="Q988" s="21"/>
      <c r="S988" s="21"/>
      <c r="U988" s="21"/>
      <c r="W988" s="21"/>
      <c r="Y988" s="21"/>
      <c r="AA988" s="21"/>
      <c r="AC988" s="21"/>
      <c r="AE988" s="21"/>
      <c r="AG988" s="21"/>
      <c r="AI988" s="21"/>
      <c r="AK988" s="21"/>
      <c r="AM988" s="21"/>
      <c r="AN988" s="21"/>
    </row>
    <row r="989">
      <c r="A989" s="21"/>
      <c r="B989" s="21"/>
      <c r="D989" s="21"/>
      <c r="F989" s="21"/>
      <c r="G989" s="21"/>
      <c r="I989" s="21"/>
      <c r="K989" s="21"/>
      <c r="M989" s="21"/>
      <c r="O989" s="21"/>
      <c r="Q989" s="21"/>
      <c r="S989" s="21"/>
      <c r="U989" s="21"/>
      <c r="W989" s="21"/>
      <c r="Y989" s="21"/>
      <c r="AA989" s="21"/>
      <c r="AC989" s="21"/>
      <c r="AE989" s="21"/>
      <c r="AG989" s="21"/>
      <c r="AI989" s="21"/>
      <c r="AK989" s="21"/>
      <c r="AM989" s="21"/>
      <c r="AN989" s="21"/>
    </row>
    <row r="990">
      <c r="A990" s="21"/>
      <c r="B990" s="21"/>
      <c r="D990" s="21"/>
      <c r="F990" s="21"/>
      <c r="G990" s="21"/>
      <c r="I990" s="21"/>
      <c r="K990" s="21"/>
      <c r="M990" s="21"/>
      <c r="O990" s="21"/>
      <c r="Q990" s="21"/>
      <c r="S990" s="21"/>
      <c r="U990" s="21"/>
      <c r="W990" s="21"/>
      <c r="Y990" s="21"/>
      <c r="AA990" s="21"/>
      <c r="AC990" s="21"/>
      <c r="AE990" s="21"/>
      <c r="AG990" s="21"/>
      <c r="AI990" s="21"/>
      <c r="AK990" s="21"/>
      <c r="AM990" s="21"/>
      <c r="AN990" s="21"/>
    </row>
    <row r="991">
      <c r="A991" s="21"/>
      <c r="B991" s="21"/>
      <c r="D991" s="21"/>
      <c r="F991" s="21"/>
      <c r="G991" s="21"/>
      <c r="I991" s="21"/>
      <c r="K991" s="21"/>
      <c r="M991" s="21"/>
      <c r="O991" s="21"/>
      <c r="Q991" s="21"/>
      <c r="S991" s="21"/>
      <c r="U991" s="21"/>
      <c r="W991" s="21"/>
      <c r="Y991" s="21"/>
      <c r="AA991" s="21"/>
      <c r="AC991" s="21"/>
      <c r="AE991" s="21"/>
      <c r="AG991" s="21"/>
      <c r="AI991" s="21"/>
      <c r="AK991" s="21"/>
      <c r="AM991" s="21"/>
      <c r="AN991" s="21"/>
    </row>
    <row r="992">
      <c r="A992" s="21"/>
      <c r="B992" s="21"/>
      <c r="D992" s="21"/>
      <c r="F992" s="21"/>
      <c r="G992" s="21"/>
      <c r="I992" s="21"/>
      <c r="K992" s="21"/>
      <c r="M992" s="21"/>
      <c r="O992" s="21"/>
      <c r="Q992" s="21"/>
      <c r="S992" s="21"/>
      <c r="U992" s="21"/>
      <c r="W992" s="21"/>
      <c r="Y992" s="21"/>
      <c r="AA992" s="21"/>
      <c r="AC992" s="21"/>
      <c r="AE992" s="21"/>
      <c r="AG992" s="21"/>
      <c r="AI992" s="21"/>
      <c r="AK992" s="21"/>
      <c r="AM992" s="21"/>
      <c r="AN992" s="21"/>
    </row>
    <row r="993">
      <c r="A993" s="21"/>
      <c r="B993" s="21"/>
      <c r="D993" s="21"/>
      <c r="F993" s="21"/>
      <c r="G993" s="21"/>
      <c r="I993" s="21"/>
      <c r="K993" s="21"/>
      <c r="M993" s="21"/>
      <c r="O993" s="21"/>
      <c r="Q993" s="21"/>
      <c r="S993" s="21"/>
      <c r="U993" s="21"/>
      <c r="W993" s="21"/>
      <c r="Y993" s="21"/>
      <c r="AA993" s="21"/>
      <c r="AC993" s="21"/>
      <c r="AE993" s="21"/>
      <c r="AG993" s="21"/>
      <c r="AI993" s="21"/>
      <c r="AK993" s="21"/>
      <c r="AM993" s="21"/>
      <c r="AN993" s="21"/>
    </row>
    <row r="994">
      <c r="A994" s="21"/>
      <c r="B994" s="21"/>
      <c r="D994" s="21"/>
      <c r="F994" s="21"/>
      <c r="G994" s="21"/>
      <c r="I994" s="21"/>
      <c r="K994" s="21"/>
      <c r="M994" s="21"/>
      <c r="O994" s="21"/>
      <c r="Q994" s="21"/>
      <c r="S994" s="21"/>
      <c r="U994" s="21"/>
      <c r="W994" s="21"/>
      <c r="Y994" s="21"/>
      <c r="AA994" s="21"/>
      <c r="AC994" s="21"/>
      <c r="AE994" s="21"/>
      <c r="AG994" s="21"/>
      <c r="AI994" s="21"/>
      <c r="AK994" s="21"/>
      <c r="AM994" s="21"/>
      <c r="AN994" s="21"/>
    </row>
    <row r="995">
      <c r="A995" s="21"/>
      <c r="B995" s="21"/>
      <c r="D995" s="21"/>
      <c r="F995" s="21"/>
      <c r="G995" s="21"/>
      <c r="I995" s="21"/>
      <c r="K995" s="21"/>
      <c r="M995" s="21"/>
      <c r="O995" s="21"/>
      <c r="Q995" s="21"/>
      <c r="S995" s="21"/>
      <c r="U995" s="21"/>
      <c r="W995" s="21"/>
      <c r="Y995" s="21"/>
      <c r="AA995" s="21"/>
      <c r="AC995" s="21"/>
      <c r="AE995" s="21"/>
      <c r="AG995" s="21"/>
      <c r="AI995" s="21"/>
      <c r="AK995" s="21"/>
      <c r="AM995" s="21"/>
      <c r="AN995" s="21"/>
    </row>
    <row r="996">
      <c r="A996" s="21"/>
      <c r="B996" s="21"/>
      <c r="D996" s="21"/>
      <c r="F996" s="21"/>
      <c r="G996" s="21"/>
      <c r="I996" s="21"/>
      <c r="K996" s="21"/>
      <c r="M996" s="21"/>
      <c r="O996" s="21"/>
      <c r="Q996" s="21"/>
      <c r="S996" s="21"/>
      <c r="U996" s="21"/>
      <c r="W996" s="21"/>
      <c r="Y996" s="21"/>
      <c r="AA996" s="21"/>
      <c r="AC996" s="21"/>
      <c r="AE996" s="21"/>
      <c r="AG996" s="21"/>
      <c r="AI996" s="21"/>
      <c r="AK996" s="21"/>
      <c r="AM996" s="21"/>
      <c r="AN996" s="21"/>
    </row>
    <row r="997">
      <c r="A997" s="21"/>
      <c r="B997" s="21"/>
      <c r="D997" s="21"/>
      <c r="F997" s="21"/>
      <c r="G997" s="21"/>
      <c r="I997" s="21"/>
      <c r="K997" s="21"/>
      <c r="M997" s="21"/>
      <c r="O997" s="21"/>
      <c r="Q997" s="21"/>
      <c r="S997" s="21"/>
      <c r="U997" s="21"/>
      <c r="W997" s="21"/>
      <c r="Y997" s="21"/>
      <c r="AA997" s="21"/>
      <c r="AC997" s="21"/>
      <c r="AE997" s="21"/>
      <c r="AG997" s="21"/>
      <c r="AI997" s="21"/>
      <c r="AK997" s="21"/>
      <c r="AM997" s="21"/>
      <c r="AN997" s="21"/>
    </row>
    <row r="998">
      <c r="A998" s="21"/>
      <c r="B998" s="21"/>
      <c r="D998" s="21"/>
      <c r="F998" s="21"/>
      <c r="G998" s="21"/>
      <c r="I998" s="21"/>
      <c r="K998" s="21"/>
      <c r="M998" s="21"/>
      <c r="O998" s="21"/>
      <c r="Q998" s="21"/>
      <c r="S998" s="21"/>
      <c r="U998" s="21"/>
      <c r="W998" s="21"/>
      <c r="Y998" s="21"/>
      <c r="AA998" s="21"/>
      <c r="AC998" s="21"/>
      <c r="AE998" s="21"/>
      <c r="AG998" s="21"/>
      <c r="AI998" s="21"/>
      <c r="AK998" s="21"/>
      <c r="AM998" s="21"/>
      <c r="AN998" s="21"/>
    </row>
    <row r="999">
      <c r="A999" s="21"/>
      <c r="B999" s="21"/>
      <c r="D999" s="21"/>
      <c r="F999" s="21"/>
      <c r="G999" s="21"/>
      <c r="I999" s="21"/>
      <c r="K999" s="21"/>
      <c r="M999" s="21"/>
      <c r="O999" s="21"/>
      <c r="Q999" s="21"/>
      <c r="S999" s="21"/>
      <c r="U999" s="21"/>
      <c r="W999" s="21"/>
      <c r="Y999" s="21"/>
      <c r="AA999" s="21"/>
      <c r="AC999" s="21"/>
      <c r="AE999" s="21"/>
      <c r="AG999" s="21"/>
      <c r="AI999" s="21"/>
      <c r="AK999" s="21"/>
      <c r="AM999" s="21"/>
      <c r="AN999" s="21"/>
    </row>
    <row r="1000">
      <c r="A1000" s="21"/>
      <c r="B1000" s="21"/>
      <c r="D1000" s="21"/>
      <c r="F1000" s="21"/>
      <c r="G1000" s="21"/>
      <c r="I1000" s="21"/>
      <c r="K1000" s="21"/>
      <c r="M1000" s="21"/>
      <c r="O1000" s="21"/>
      <c r="Q1000" s="21"/>
      <c r="S1000" s="21"/>
      <c r="U1000" s="21"/>
      <c r="W1000" s="21"/>
      <c r="Y1000" s="21"/>
      <c r="AA1000" s="21"/>
      <c r="AC1000" s="21"/>
      <c r="AE1000" s="21"/>
      <c r="AG1000" s="21"/>
      <c r="AI1000" s="21"/>
      <c r="AK1000" s="21"/>
      <c r="AM1000" s="21"/>
      <c r="AN1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19.63"/>
    <col customWidth="1" min="5" max="5" width="16.0"/>
    <col customWidth="1" min="6" max="6" width="13.13"/>
    <col customWidth="1" min="7" max="7" width="15.38"/>
  </cols>
  <sheetData>
    <row r="1">
      <c r="A1" s="3" t="s">
        <v>0</v>
      </c>
      <c r="B1" s="3" t="s">
        <v>1</v>
      </c>
      <c r="C1" s="4" t="s">
        <v>2</v>
      </c>
      <c r="D1" s="4" t="s">
        <v>28</v>
      </c>
      <c r="E1" s="3" t="s">
        <v>10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11</v>
      </c>
      <c r="K1" s="4" t="s">
        <v>12</v>
      </c>
      <c r="L1" s="4" t="s">
        <v>14</v>
      </c>
      <c r="M1" s="4" t="s">
        <v>15</v>
      </c>
      <c r="N1" s="4" t="s">
        <v>16</v>
      </c>
      <c r="O1" s="4" t="s">
        <v>18</v>
      </c>
      <c r="P1" s="4" t="s">
        <v>20</v>
      </c>
      <c r="Q1" s="4" t="s">
        <v>21</v>
      </c>
      <c r="R1" s="4" t="s">
        <v>23</v>
      </c>
      <c r="S1" s="4" t="s">
        <v>24</v>
      </c>
      <c r="T1" s="4" t="s">
        <v>27</v>
      </c>
      <c r="U1" s="4" t="s">
        <v>29</v>
      </c>
      <c r="V1" s="3" t="s">
        <v>31</v>
      </c>
    </row>
    <row r="2">
      <c r="A2" s="2" t="s">
        <v>32</v>
      </c>
      <c r="B2" s="2" t="s">
        <v>33</v>
      </c>
      <c r="C2" s="2">
        <v>29.82</v>
      </c>
      <c r="D2" s="2">
        <v>0.46</v>
      </c>
      <c r="E2" s="2" t="s">
        <v>55</v>
      </c>
      <c r="F2" s="2">
        <v>614.66</v>
      </c>
      <c r="G2" s="2">
        <v>0.3</v>
      </c>
      <c r="H2" s="2">
        <v>0.2</v>
      </c>
      <c r="I2" s="2">
        <v>0.08</v>
      </c>
      <c r="J2" s="2">
        <v>0.18</v>
      </c>
      <c r="K2" s="2">
        <v>0.0</v>
      </c>
      <c r="L2" s="2">
        <v>0.79</v>
      </c>
      <c r="M2" s="2">
        <v>0.24</v>
      </c>
      <c r="N2" s="2">
        <v>0.2</v>
      </c>
      <c r="O2" s="2">
        <v>0.02</v>
      </c>
      <c r="P2" s="2">
        <v>0.0</v>
      </c>
      <c r="Q2" s="2">
        <v>0.04</v>
      </c>
      <c r="R2" s="2">
        <v>0.5</v>
      </c>
      <c r="S2" s="2">
        <v>-0.3</v>
      </c>
      <c r="T2" s="2">
        <v>0.46</v>
      </c>
      <c r="U2" s="2">
        <v>1.6</v>
      </c>
      <c r="V2" s="2">
        <v>6.0</v>
      </c>
    </row>
    <row r="3">
      <c r="A3" s="2" t="s">
        <v>57</v>
      </c>
      <c r="B3" s="2" t="s">
        <v>58</v>
      </c>
      <c r="C3" s="2">
        <v>3.16</v>
      </c>
      <c r="D3" s="2">
        <v>0.73</v>
      </c>
      <c r="E3" s="2" t="s">
        <v>76</v>
      </c>
      <c r="F3" s="2">
        <v>4534.37</v>
      </c>
      <c r="G3" s="2">
        <v>0.78</v>
      </c>
      <c r="H3" s="2">
        <v>0.22</v>
      </c>
      <c r="I3" s="2">
        <v>0.25</v>
      </c>
      <c r="J3" s="2">
        <v>0.87</v>
      </c>
      <c r="K3" s="2">
        <v>0.02</v>
      </c>
      <c r="L3" s="2">
        <v>2.21</v>
      </c>
      <c r="M3" s="2">
        <v>0.55</v>
      </c>
      <c r="N3" s="2">
        <v>0.21</v>
      </c>
      <c r="O3" s="2">
        <v>0.29</v>
      </c>
      <c r="P3" s="2">
        <v>0.07</v>
      </c>
      <c r="Q3" s="2">
        <v>0.06</v>
      </c>
      <c r="R3" s="2">
        <v>1.18</v>
      </c>
      <c r="S3" s="2">
        <v>-1.03</v>
      </c>
      <c r="T3" s="2">
        <v>1.27</v>
      </c>
      <c r="U3" s="2">
        <v>1.87</v>
      </c>
      <c r="V3" s="2">
        <v>6.0</v>
      </c>
    </row>
    <row r="4">
      <c r="A4" s="2" t="s">
        <v>72</v>
      </c>
      <c r="B4" s="2" t="s">
        <v>73</v>
      </c>
      <c r="C4" s="2">
        <v>38.48</v>
      </c>
      <c r="D4" s="2">
        <v>0.73</v>
      </c>
      <c r="E4" s="2" t="s">
        <v>76</v>
      </c>
      <c r="F4" s="2">
        <v>5430.57</v>
      </c>
      <c r="G4" s="2">
        <v>0.6</v>
      </c>
      <c r="H4" s="2">
        <v>0.16</v>
      </c>
      <c r="I4" s="2">
        <v>0.17</v>
      </c>
      <c r="J4" s="2">
        <v>1.14</v>
      </c>
      <c r="K4" s="2">
        <v>0.01</v>
      </c>
      <c r="L4" s="2">
        <v>2.12</v>
      </c>
      <c r="M4" s="2">
        <v>0.24</v>
      </c>
      <c r="N4" s="2">
        <v>0.27</v>
      </c>
      <c r="O4" s="2">
        <v>0.03</v>
      </c>
      <c r="P4" s="2">
        <v>0.01</v>
      </c>
      <c r="Q4" s="2">
        <v>0.03</v>
      </c>
      <c r="R4" s="2">
        <v>0.59</v>
      </c>
      <c r="S4" s="2">
        <v>-1.53</v>
      </c>
      <c r="T4" s="2">
        <v>1.22</v>
      </c>
      <c r="U4" s="2">
        <v>3.61</v>
      </c>
      <c r="V4" s="2">
        <v>5.0</v>
      </c>
    </row>
    <row r="5">
      <c r="A5" s="2" t="s">
        <v>86</v>
      </c>
      <c r="B5" s="2" t="s">
        <v>73</v>
      </c>
      <c r="C5" s="2">
        <v>20.82</v>
      </c>
      <c r="D5" s="2">
        <v>0.52</v>
      </c>
      <c r="E5" s="2" t="s">
        <v>55</v>
      </c>
      <c r="F5" s="2">
        <v>4665.91</v>
      </c>
      <c r="G5" s="2">
        <v>0.33</v>
      </c>
      <c r="H5" s="2">
        <v>0.15</v>
      </c>
      <c r="I5" s="2">
        <v>0.12</v>
      </c>
      <c r="J5" s="2">
        <v>0.2</v>
      </c>
      <c r="K5" s="2">
        <v>0.09</v>
      </c>
      <c r="L5" s="2">
        <v>0.93</v>
      </c>
      <c r="M5" s="2">
        <v>0.2</v>
      </c>
      <c r="N5" s="2">
        <v>1.42</v>
      </c>
      <c r="O5" s="2">
        <v>0.64</v>
      </c>
      <c r="P5" s="2">
        <v>0.26</v>
      </c>
      <c r="Q5" s="2">
        <v>0.04</v>
      </c>
      <c r="R5" s="2">
        <v>2.55</v>
      </c>
      <c r="S5" s="2">
        <v>1.61</v>
      </c>
      <c r="T5" s="2">
        <v>0.54</v>
      </c>
      <c r="U5" s="2">
        <v>0.37</v>
      </c>
      <c r="V5" s="2">
        <v>6.0</v>
      </c>
    </row>
    <row r="6">
      <c r="A6" s="2" t="s">
        <v>102</v>
      </c>
      <c r="B6" s="2" t="s">
        <v>103</v>
      </c>
      <c r="C6" s="2">
        <v>0.09</v>
      </c>
      <c r="D6" s="2">
        <v>0.78</v>
      </c>
      <c r="E6" s="2" t="s">
        <v>76</v>
      </c>
      <c r="F6" s="2">
        <v>13205.1</v>
      </c>
      <c r="G6" s="2" t="s">
        <v>106</v>
      </c>
      <c r="H6" s="2" t="s">
        <v>106</v>
      </c>
      <c r="I6" s="2" t="s">
        <v>106</v>
      </c>
      <c r="J6" s="2" t="s">
        <v>106</v>
      </c>
      <c r="K6" s="2" t="s">
        <v>106</v>
      </c>
      <c r="L6" s="2">
        <v>5.38</v>
      </c>
      <c r="M6" s="2" t="s">
        <v>106</v>
      </c>
      <c r="N6" s="2" t="s">
        <v>106</v>
      </c>
      <c r="O6" s="2" t="s">
        <v>106</v>
      </c>
      <c r="P6" s="2" t="s">
        <v>106</v>
      </c>
      <c r="Q6" s="2" t="s">
        <v>106</v>
      </c>
      <c r="R6" s="2">
        <v>0.94</v>
      </c>
      <c r="S6" s="2">
        <v>-4.44</v>
      </c>
      <c r="T6" s="2">
        <v>3.11</v>
      </c>
      <c r="U6" s="2">
        <v>5.7</v>
      </c>
      <c r="V6" s="2">
        <v>2.0</v>
      </c>
    </row>
    <row r="7">
      <c r="A7" s="2" t="s">
        <v>109</v>
      </c>
      <c r="B7" s="2" t="s">
        <v>103</v>
      </c>
      <c r="C7" s="2">
        <v>41.09</v>
      </c>
      <c r="D7" s="2">
        <v>0.83</v>
      </c>
      <c r="E7" s="2" t="s">
        <v>113</v>
      </c>
      <c r="F7" s="2">
        <v>13540.0</v>
      </c>
      <c r="G7" s="2">
        <v>0.78</v>
      </c>
      <c r="H7" s="2">
        <v>0.79</v>
      </c>
      <c r="I7" s="2">
        <v>0.29</v>
      </c>
      <c r="J7" s="2">
        <v>1.08</v>
      </c>
      <c r="K7" s="2">
        <v>0.1</v>
      </c>
      <c r="L7" s="2">
        <v>3.14</v>
      </c>
      <c r="M7" s="2">
        <v>2.64</v>
      </c>
      <c r="N7" s="2">
        <v>1.86</v>
      </c>
      <c r="O7" s="2">
        <v>0.66</v>
      </c>
      <c r="P7" s="2">
        <v>1.67</v>
      </c>
      <c r="Q7" s="2">
        <v>0.1</v>
      </c>
      <c r="R7" s="2">
        <v>6.92</v>
      </c>
      <c r="S7" s="2">
        <v>3.78</v>
      </c>
      <c r="T7" s="2">
        <v>1.82</v>
      </c>
      <c r="U7" s="2">
        <v>0.45</v>
      </c>
      <c r="V7" s="2">
        <v>6.0</v>
      </c>
    </row>
    <row r="8">
      <c r="A8" s="2" t="s">
        <v>115</v>
      </c>
      <c r="B8" s="2" t="s">
        <v>33</v>
      </c>
      <c r="C8" s="2">
        <v>2.97</v>
      </c>
      <c r="D8" s="2">
        <v>0.73</v>
      </c>
      <c r="E8" s="2" t="s">
        <v>76</v>
      </c>
      <c r="F8" s="2">
        <v>3426.39</v>
      </c>
      <c r="G8" s="2">
        <v>0.74</v>
      </c>
      <c r="H8" s="2">
        <v>0.18</v>
      </c>
      <c r="I8" s="2">
        <v>0.34</v>
      </c>
      <c r="J8" s="2">
        <v>0.89</v>
      </c>
      <c r="K8" s="2">
        <v>0.01</v>
      </c>
      <c r="L8" s="2">
        <v>2.23</v>
      </c>
      <c r="M8" s="2">
        <v>0.44</v>
      </c>
      <c r="N8" s="2">
        <v>0.26</v>
      </c>
      <c r="O8" s="2">
        <v>0.1</v>
      </c>
      <c r="P8" s="2">
        <v>0.02</v>
      </c>
      <c r="Q8" s="2">
        <v>0.07</v>
      </c>
      <c r="R8" s="2">
        <v>0.89</v>
      </c>
      <c r="S8" s="2">
        <v>-1.35</v>
      </c>
      <c r="T8" s="2">
        <v>1.29</v>
      </c>
      <c r="U8" s="2">
        <v>2.52</v>
      </c>
      <c r="V8" s="2" t="s">
        <v>124</v>
      </c>
    </row>
    <row r="9">
      <c r="A9" s="2" t="s">
        <v>126</v>
      </c>
      <c r="B9" s="2" t="s">
        <v>103</v>
      </c>
      <c r="C9" s="2">
        <v>0.1</v>
      </c>
      <c r="D9" s="2" t="s">
        <v>106</v>
      </c>
      <c r="E9" s="2" t="s">
        <v>129</v>
      </c>
      <c r="F9" s="2" t="s">
        <v>106</v>
      </c>
      <c r="G9" s="2" t="s">
        <v>106</v>
      </c>
      <c r="H9" s="2" t="s">
        <v>106</v>
      </c>
      <c r="I9" s="2" t="s">
        <v>106</v>
      </c>
      <c r="J9" s="2" t="s">
        <v>106</v>
      </c>
      <c r="K9" s="2" t="s">
        <v>106</v>
      </c>
      <c r="L9" s="2">
        <v>11.88</v>
      </c>
      <c r="M9" s="2" t="s">
        <v>106</v>
      </c>
      <c r="N9" s="2" t="s">
        <v>106</v>
      </c>
      <c r="O9" s="2" t="s">
        <v>106</v>
      </c>
      <c r="P9" s="2" t="s">
        <v>106</v>
      </c>
      <c r="Q9" s="2" t="s">
        <v>106</v>
      </c>
      <c r="R9" s="2">
        <v>0.57</v>
      </c>
      <c r="S9" s="2">
        <v>-11.31</v>
      </c>
      <c r="T9" s="2">
        <v>6.86</v>
      </c>
      <c r="U9" s="2">
        <v>20.69</v>
      </c>
      <c r="V9" s="2">
        <v>2.0</v>
      </c>
    </row>
    <row r="10">
      <c r="A10" s="2" t="s">
        <v>133</v>
      </c>
      <c r="B10" s="2" t="s">
        <v>134</v>
      </c>
      <c r="C10" s="2">
        <v>23.05</v>
      </c>
      <c r="D10" s="2">
        <v>0.93</v>
      </c>
      <c r="E10" s="2" t="s">
        <v>113</v>
      </c>
      <c r="F10" s="2">
        <v>66604.2</v>
      </c>
      <c r="G10" s="2">
        <v>2.68</v>
      </c>
      <c r="H10" s="2">
        <v>0.63</v>
      </c>
      <c r="I10" s="2">
        <v>0.89</v>
      </c>
      <c r="J10" s="2">
        <v>4.85</v>
      </c>
      <c r="K10" s="2">
        <v>0.11</v>
      </c>
      <c r="L10" s="2">
        <v>9.31</v>
      </c>
      <c r="M10" s="2">
        <v>5.42</v>
      </c>
      <c r="N10" s="2">
        <v>5.81</v>
      </c>
      <c r="O10" s="2">
        <v>2.01</v>
      </c>
      <c r="P10" s="2">
        <v>3.19</v>
      </c>
      <c r="Q10" s="2">
        <v>0.14</v>
      </c>
      <c r="R10" s="2">
        <v>16.57</v>
      </c>
      <c r="S10" s="2">
        <v>7.26</v>
      </c>
      <c r="T10" s="2">
        <v>5.37</v>
      </c>
      <c r="U10" s="2">
        <v>0.56</v>
      </c>
      <c r="V10" s="2">
        <v>5.0</v>
      </c>
    </row>
    <row r="11">
      <c r="A11" s="2" t="s">
        <v>142</v>
      </c>
      <c r="B11" s="2" t="s">
        <v>143</v>
      </c>
      <c r="C11" s="2">
        <v>8.46</v>
      </c>
      <c r="D11" s="2">
        <v>0.88</v>
      </c>
      <c r="E11" s="2" t="s">
        <v>113</v>
      </c>
      <c r="F11" s="2">
        <v>51274.1</v>
      </c>
      <c r="G11" s="2">
        <v>0.82</v>
      </c>
      <c r="H11" s="2">
        <v>0.27</v>
      </c>
      <c r="I11" s="2">
        <v>0.63</v>
      </c>
      <c r="J11" s="2">
        <v>4.14</v>
      </c>
      <c r="K11" s="2">
        <v>0.06</v>
      </c>
      <c r="L11" s="2">
        <v>6.06</v>
      </c>
      <c r="M11" s="2">
        <v>0.71</v>
      </c>
      <c r="N11" s="2">
        <v>0.16</v>
      </c>
      <c r="O11" s="2">
        <v>2.04</v>
      </c>
      <c r="P11" s="2">
        <v>0.0</v>
      </c>
      <c r="Q11" s="2">
        <v>0.15</v>
      </c>
      <c r="R11" s="2">
        <v>3.07</v>
      </c>
      <c r="S11" s="2">
        <v>-3.0</v>
      </c>
      <c r="T11" s="2">
        <v>3.5</v>
      </c>
      <c r="U11" s="2">
        <v>1.98</v>
      </c>
      <c r="V11" s="2">
        <v>5.0</v>
      </c>
    </row>
    <row r="12">
      <c r="A12" s="2" t="s">
        <v>153</v>
      </c>
      <c r="B12" s="2" t="s">
        <v>33</v>
      </c>
      <c r="C12" s="2">
        <v>9.31</v>
      </c>
      <c r="D12" s="2">
        <v>0.75</v>
      </c>
      <c r="E12" s="2" t="s">
        <v>76</v>
      </c>
      <c r="F12" s="2">
        <v>7106.04</v>
      </c>
      <c r="G12" s="2">
        <v>0.66</v>
      </c>
      <c r="H12" s="2">
        <v>0.22</v>
      </c>
      <c r="I12" s="2">
        <v>0.11</v>
      </c>
      <c r="J12" s="2">
        <v>1.25</v>
      </c>
      <c r="K12" s="2">
        <v>0.01</v>
      </c>
      <c r="L12" s="2">
        <v>2.31</v>
      </c>
      <c r="M12" s="2">
        <v>0.46</v>
      </c>
      <c r="N12" s="2">
        <v>0.2</v>
      </c>
      <c r="O12" s="2">
        <v>0.11</v>
      </c>
      <c r="P12" s="2">
        <v>0.02</v>
      </c>
      <c r="Q12" s="2">
        <v>0.06</v>
      </c>
      <c r="R12" s="2">
        <v>0.85</v>
      </c>
      <c r="S12" s="2">
        <v>-1.46</v>
      </c>
      <c r="T12" s="2">
        <v>1.33</v>
      </c>
      <c r="U12" s="2">
        <v>2.72</v>
      </c>
      <c r="V12" s="2">
        <v>6.0</v>
      </c>
    </row>
    <row r="13">
      <c r="A13" s="2" t="s">
        <v>161</v>
      </c>
      <c r="B13" s="2" t="s">
        <v>103</v>
      </c>
      <c r="C13" s="2">
        <v>0.37</v>
      </c>
      <c r="D13" s="2">
        <v>0.78</v>
      </c>
      <c r="E13" s="2" t="s">
        <v>76</v>
      </c>
      <c r="F13" s="2">
        <v>22647.3</v>
      </c>
      <c r="G13" s="2">
        <v>0.97</v>
      </c>
      <c r="H13" s="2">
        <v>1.05</v>
      </c>
      <c r="I13" s="2">
        <v>0.19</v>
      </c>
      <c r="J13" s="2">
        <v>4.46</v>
      </c>
      <c r="K13" s="2">
        <v>0.14</v>
      </c>
      <c r="L13" s="2">
        <v>6.84</v>
      </c>
      <c r="M13" s="2">
        <v>0.05</v>
      </c>
      <c r="N13" s="2">
        <v>0.0</v>
      </c>
      <c r="O13" s="2">
        <v>1.18</v>
      </c>
      <c r="P13" s="2">
        <v>8.27</v>
      </c>
      <c r="Q13" s="2">
        <v>0.04</v>
      </c>
      <c r="R13" s="2">
        <v>9.55</v>
      </c>
      <c r="S13" s="2">
        <v>2.71</v>
      </c>
      <c r="T13" s="2">
        <v>3.95</v>
      </c>
      <c r="U13" s="2">
        <v>0.72</v>
      </c>
      <c r="V13" s="2" t="s">
        <v>164</v>
      </c>
    </row>
    <row r="14">
      <c r="A14" s="2" t="s">
        <v>165</v>
      </c>
      <c r="B14" s="2" t="s">
        <v>33</v>
      </c>
      <c r="C14" s="2">
        <v>1.32</v>
      </c>
      <c r="D14" s="2">
        <v>0.82</v>
      </c>
      <c r="E14" s="2" t="s">
        <v>113</v>
      </c>
      <c r="F14" s="2">
        <v>24299.0</v>
      </c>
      <c r="G14" s="2">
        <v>0.52</v>
      </c>
      <c r="H14" s="2">
        <v>0.45</v>
      </c>
      <c r="I14" s="2">
        <v>0.16</v>
      </c>
      <c r="J14" s="2">
        <v>6.19</v>
      </c>
      <c r="K14" s="2">
        <v>0.07</v>
      </c>
      <c r="L14" s="2">
        <v>7.49</v>
      </c>
      <c r="M14" s="2">
        <v>0.01</v>
      </c>
      <c r="N14" s="2">
        <v>0.0</v>
      </c>
      <c r="O14" s="2">
        <v>0.0</v>
      </c>
      <c r="P14" s="2">
        <v>0.46</v>
      </c>
      <c r="Q14" s="2">
        <v>0.1</v>
      </c>
      <c r="R14" s="2">
        <v>0.58</v>
      </c>
      <c r="S14" s="2">
        <v>-6.91</v>
      </c>
      <c r="T14" s="2">
        <v>4.33</v>
      </c>
      <c r="U14" s="2">
        <v>12.96</v>
      </c>
      <c r="V14" s="2" t="s">
        <v>164</v>
      </c>
    </row>
    <row r="15">
      <c r="A15" s="2" t="s">
        <v>173</v>
      </c>
      <c r="B15" s="2" t="s">
        <v>134</v>
      </c>
      <c r="C15" s="2">
        <v>154.7</v>
      </c>
      <c r="D15" s="2">
        <v>0.56</v>
      </c>
      <c r="E15" s="2" t="s">
        <v>175</v>
      </c>
      <c r="F15" s="2">
        <v>857.5</v>
      </c>
      <c r="G15" s="2">
        <v>0.29</v>
      </c>
      <c r="H15" s="2">
        <v>0.0</v>
      </c>
      <c r="I15" s="2">
        <v>0.08</v>
      </c>
      <c r="J15" s="2">
        <v>0.26</v>
      </c>
      <c r="K15" s="2">
        <v>0.02</v>
      </c>
      <c r="L15" s="2">
        <v>0.72</v>
      </c>
      <c r="M15" s="2">
        <v>0.25</v>
      </c>
      <c r="N15" s="2">
        <v>0.0</v>
      </c>
      <c r="O15" s="2">
        <v>0.0</v>
      </c>
      <c r="P15" s="2">
        <v>0.05</v>
      </c>
      <c r="Q15" s="2">
        <v>0.07</v>
      </c>
      <c r="R15" s="2">
        <v>0.38</v>
      </c>
      <c r="S15" s="2">
        <v>-0.35</v>
      </c>
      <c r="T15" s="2">
        <v>0.42</v>
      </c>
      <c r="U15" s="2">
        <v>1.92</v>
      </c>
      <c r="V15" s="2">
        <v>6.0</v>
      </c>
    </row>
    <row r="16">
      <c r="A16" s="2" t="s">
        <v>182</v>
      </c>
      <c r="B16" s="2" t="s">
        <v>103</v>
      </c>
      <c r="C16" s="2">
        <v>0.28</v>
      </c>
      <c r="D16" s="2">
        <v>0.79</v>
      </c>
      <c r="E16" s="2" t="s">
        <v>76</v>
      </c>
      <c r="F16" s="2">
        <v>15722.8</v>
      </c>
      <c r="G16" s="2">
        <v>0.56</v>
      </c>
      <c r="H16" s="2">
        <v>0.24</v>
      </c>
      <c r="I16" s="2">
        <v>0.14</v>
      </c>
      <c r="J16" s="2">
        <v>3.28</v>
      </c>
      <c r="K16" s="2">
        <v>0.22</v>
      </c>
      <c r="L16" s="2">
        <v>4.48</v>
      </c>
      <c r="M16" s="2">
        <v>0.08</v>
      </c>
      <c r="N16" s="2">
        <v>0.0</v>
      </c>
      <c r="O16" s="2">
        <v>0.02</v>
      </c>
      <c r="P16" s="2">
        <v>0.04</v>
      </c>
      <c r="Q16" s="2">
        <v>0.04</v>
      </c>
      <c r="R16" s="2">
        <v>0.19</v>
      </c>
      <c r="S16" s="2">
        <v>-4.29</v>
      </c>
      <c r="T16" s="2">
        <v>2.58</v>
      </c>
      <c r="U16" s="2">
        <v>23.79</v>
      </c>
      <c r="V16" s="2">
        <v>5.0</v>
      </c>
    </row>
    <row r="17">
      <c r="A17" s="2" t="s">
        <v>189</v>
      </c>
      <c r="B17" s="2" t="s">
        <v>58</v>
      </c>
      <c r="C17" s="2">
        <v>9.4</v>
      </c>
      <c r="D17" s="2">
        <v>0.8</v>
      </c>
      <c r="E17" s="2" t="s">
        <v>76</v>
      </c>
      <c r="F17" s="2">
        <v>6300.45</v>
      </c>
      <c r="G17" s="2">
        <v>1.32</v>
      </c>
      <c r="H17" s="2">
        <v>0.12</v>
      </c>
      <c r="I17" s="2">
        <v>0.91</v>
      </c>
      <c r="J17" s="2">
        <v>2.57</v>
      </c>
      <c r="K17" s="2">
        <v>0.08</v>
      </c>
      <c r="L17" s="2">
        <v>5.09</v>
      </c>
      <c r="M17" s="2">
        <v>1.52</v>
      </c>
      <c r="N17" s="2">
        <v>0.3</v>
      </c>
      <c r="O17" s="2">
        <v>1.71</v>
      </c>
      <c r="P17" s="2">
        <v>0.02</v>
      </c>
      <c r="Q17" s="2">
        <v>0.09</v>
      </c>
      <c r="R17" s="2">
        <v>3.64</v>
      </c>
      <c r="S17" s="2">
        <v>-1.45</v>
      </c>
      <c r="T17" s="2">
        <v>2.94</v>
      </c>
      <c r="U17" s="2">
        <v>1.4</v>
      </c>
      <c r="V17" s="2">
        <v>6.0</v>
      </c>
    </row>
    <row r="18">
      <c r="A18" s="2" t="s">
        <v>194</v>
      </c>
      <c r="B18" s="2" t="s">
        <v>143</v>
      </c>
      <c r="C18" s="2">
        <v>11.06</v>
      </c>
      <c r="D18" s="2">
        <v>0.89</v>
      </c>
      <c r="E18" s="2" t="s">
        <v>113</v>
      </c>
      <c r="F18" s="2">
        <v>48053.3</v>
      </c>
      <c r="G18" s="2">
        <v>1.15</v>
      </c>
      <c r="H18" s="2">
        <v>0.48</v>
      </c>
      <c r="I18" s="2">
        <v>0.99</v>
      </c>
      <c r="J18" s="2">
        <v>4.43</v>
      </c>
      <c r="K18" s="2">
        <v>0.12</v>
      </c>
      <c r="L18" s="2">
        <v>7.44</v>
      </c>
      <c r="M18" s="2">
        <v>0.56</v>
      </c>
      <c r="N18" s="2">
        <v>0.03</v>
      </c>
      <c r="O18" s="2">
        <v>0.28</v>
      </c>
      <c r="P18" s="2">
        <v>0.04</v>
      </c>
      <c r="Q18" s="2">
        <v>0.27</v>
      </c>
      <c r="R18" s="2">
        <v>1.19</v>
      </c>
      <c r="S18" s="2">
        <v>-6.25</v>
      </c>
      <c r="T18" s="2">
        <v>4.3</v>
      </c>
      <c r="U18" s="2">
        <v>6.27</v>
      </c>
      <c r="V18" s="2">
        <v>6.0</v>
      </c>
    </row>
    <row r="19">
      <c r="A19" s="2" t="s">
        <v>198</v>
      </c>
      <c r="B19" s="2" t="s">
        <v>73</v>
      </c>
      <c r="C19" s="2">
        <v>10.05</v>
      </c>
      <c r="D19" s="2">
        <v>0.48</v>
      </c>
      <c r="E19" s="2" t="s">
        <v>55</v>
      </c>
      <c r="F19" s="2">
        <v>746.83</v>
      </c>
      <c r="G19" s="2">
        <v>0.49</v>
      </c>
      <c r="H19" s="2">
        <v>0.04</v>
      </c>
      <c r="I19" s="2">
        <v>0.26</v>
      </c>
      <c r="J19" s="2">
        <v>0.51</v>
      </c>
      <c r="K19" s="2">
        <v>0.08</v>
      </c>
      <c r="L19" s="2">
        <v>1.41</v>
      </c>
      <c r="M19" s="2">
        <v>0.44</v>
      </c>
      <c r="N19" s="2">
        <v>0.04</v>
      </c>
      <c r="O19" s="2">
        <v>0.34</v>
      </c>
      <c r="P19" s="2">
        <v>0.02</v>
      </c>
      <c r="Q19" s="2">
        <v>0.04</v>
      </c>
      <c r="R19" s="2">
        <v>0.88</v>
      </c>
      <c r="S19" s="2">
        <v>-0.53</v>
      </c>
      <c r="T19" s="2">
        <v>0.81</v>
      </c>
      <c r="U19" s="2">
        <v>1.61</v>
      </c>
      <c r="V19" s="2">
        <v>6.0</v>
      </c>
    </row>
    <row r="20">
      <c r="A20" s="2" t="s">
        <v>204</v>
      </c>
      <c r="B20" s="2" t="s">
        <v>205</v>
      </c>
      <c r="C20" s="2">
        <v>0.06</v>
      </c>
      <c r="D20" s="2" t="s">
        <v>106</v>
      </c>
      <c r="E20" s="2" t="s">
        <v>129</v>
      </c>
      <c r="F20" s="2">
        <v>70626.3</v>
      </c>
      <c r="G20" s="2" t="s">
        <v>106</v>
      </c>
      <c r="H20" s="2" t="s">
        <v>106</v>
      </c>
      <c r="I20" s="2" t="s">
        <v>106</v>
      </c>
      <c r="J20" s="2" t="s">
        <v>106</v>
      </c>
      <c r="K20" s="2" t="s">
        <v>106</v>
      </c>
      <c r="L20" s="2">
        <v>5.77</v>
      </c>
      <c r="M20" s="2" t="s">
        <v>106</v>
      </c>
      <c r="N20" s="2" t="s">
        <v>106</v>
      </c>
      <c r="O20" s="2" t="s">
        <v>106</v>
      </c>
      <c r="P20" s="2" t="s">
        <v>106</v>
      </c>
      <c r="Q20" s="2" t="s">
        <v>106</v>
      </c>
      <c r="R20" s="2">
        <v>0.13</v>
      </c>
      <c r="S20" s="2">
        <v>-5.64</v>
      </c>
      <c r="T20" s="2">
        <v>3.33</v>
      </c>
      <c r="U20" s="2">
        <v>44.05</v>
      </c>
      <c r="V20" s="2" t="s">
        <v>210</v>
      </c>
    </row>
    <row r="21">
      <c r="A21" s="2" t="s">
        <v>212</v>
      </c>
      <c r="B21" s="2" t="s">
        <v>134</v>
      </c>
      <c r="C21" s="2">
        <v>0.74</v>
      </c>
      <c r="D21" s="2">
        <v>0.59</v>
      </c>
      <c r="E21" s="2" t="s">
        <v>175</v>
      </c>
      <c r="F21" s="2">
        <v>2395.0</v>
      </c>
      <c r="G21" s="2">
        <v>0.5</v>
      </c>
      <c r="H21" s="2">
        <v>0.42</v>
      </c>
      <c r="I21" s="2">
        <v>3.03</v>
      </c>
      <c r="J21" s="2">
        <v>0.63</v>
      </c>
      <c r="K21" s="2">
        <v>0.02</v>
      </c>
      <c r="L21" s="2">
        <v>4.84</v>
      </c>
      <c r="M21" s="2">
        <v>0.28</v>
      </c>
      <c r="N21" s="2">
        <v>0.34</v>
      </c>
      <c r="O21" s="2">
        <v>4.38</v>
      </c>
      <c r="P21" s="2">
        <v>0.01</v>
      </c>
      <c r="Q21" s="2">
        <v>0.25</v>
      </c>
      <c r="R21" s="2">
        <v>5.27</v>
      </c>
      <c r="S21" s="2">
        <v>0.43</v>
      </c>
      <c r="T21" s="2">
        <v>2.8</v>
      </c>
      <c r="U21" s="2">
        <v>0.92</v>
      </c>
      <c r="V21" s="2" t="s">
        <v>124</v>
      </c>
    </row>
    <row r="22">
      <c r="A22" s="2" t="s">
        <v>219</v>
      </c>
      <c r="B22" s="2" t="s">
        <v>103</v>
      </c>
      <c r="C22" s="2">
        <v>10.5</v>
      </c>
      <c r="D22" s="2">
        <v>0.65</v>
      </c>
      <c r="E22" s="2" t="s">
        <v>175</v>
      </c>
      <c r="F22" s="2">
        <v>2253.09</v>
      </c>
      <c r="G22" s="2">
        <v>0.37</v>
      </c>
      <c r="H22" s="2">
        <v>1.69</v>
      </c>
      <c r="I22" s="2">
        <v>0.17</v>
      </c>
      <c r="J22" s="2">
        <v>0.67</v>
      </c>
      <c r="K22" s="2">
        <v>0.01</v>
      </c>
      <c r="L22" s="2">
        <v>2.96</v>
      </c>
      <c r="M22" s="2">
        <v>0.59</v>
      </c>
      <c r="N22" s="2">
        <v>2.18</v>
      </c>
      <c r="O22" s="2">
        <v>13.86</v>
      </c>
      <c r="P22" s="2">
        <v>0.05</v>
      </c>
      <c r="Q22" s="2">
        <v>0.06</v>
      </c>
      <c r="R22" s="2">
        <v>16.73</v>
      </c>
      <c r="S22" s="2">
        <v>13.77</v>
      </c>
      <c r="T22" s="2">
        <v>1.71</v>
      </c>
      <c r="U22" s="2">
        <v>0.18</v>
      </c>
      <c r="V22" s="2">
        <v>5.0</v>
      </c>
    </row>
    <row r="23">
      <c r="A23" s="2" t="s">
        <v>227</v>
      </c>
      <c r="B23" s="2" t="s">
        <v>58</v>
      </c>
      <c r="C23" s="2">
        <v>3.83</v>
      </c>
      <c r="D23" s="2">
        <v>0.73</v>
      </c>
      <c r="E23" s="2" t="s">
        <v>76</v>
      </c>
      <c r="F23" s="2">
        <v>4708.85</v>
      </c>
      <c r="G23" s="2">
        <v>0.63</v>
      </c>
      <c r="H23" s="2">
        <v>0.27</v>
      </c>
      <c r="I23" s="2">
        <v>0.44</v>
      </c>
      <c r="J23" s="2">
        <v>1.74</v>
      </c>
      <c r="K23" s="2">
        <v>0.02</v>
      </c>
      <c r="L23" s="2">
        <v>3.12</v>
      </c>
      <c r="M23" s="2">
        <v>0.3</v>
      </c>
      <c r="N23" s="2">
        <v>0.19</v>
      </c>
      <c r="O23" s="2">
        <v>1.13</v>
      </c>
      <c r="P23" s="2">
        <v>0.0</v>
      </c>
      <c r="Q23" s="2">
        <v>0.02</v>
      </c>
      <c r="R23" s="2">
        <v>1.63</v>
      </c>
      <c r="S23" s="2">
        <v>-1.49</v>
      </c>
      <c r="T23" s="2">
        <v>1.8</v>
      </c>
      <c r="U23" s="2">
        <v>1.91</v>
      </c>
      <c r="V23" s="2">
        <v>5.0</v>
      </c>
    </row>
    <row r="24">
      <c r="A24" s="2" t="s">
        <v>232</v>
      </c>
      <c r="B24" s="2" t="s">
        <v>73</v>
      </c>
      <c r="C24" s="2">
        <v>2.0</v>
      </c>
      <c r="D24" s="2">
        <v>0.69</v>
      </c>
      <c r="E24" s="2" t="s">
        <v>175</v>
      </c>
      <c r="F24" s="2">
        <v>7743.5</v>
      </c>
      <c r="G24" s="2">
        <v>0.3</v>
      </c>
      <c r="H24" s="2">
        <v>0.89</v>
      </c>
      <c r="I24" s="2">
        <v>0.24</v>
      </c>
      <c r="J24" s="2">
        <v>2.36</v>
      </c>
      <c r="K24" s="2">
        <v>0.01</v>
      </c>
      <c r="L24" s="2">
        <v>3.83</v>
      </c>
      <c r="M24" s="2">
        <v>0.06</v>
      </c>
      <c r="N24" s="2">
        <v>2.49</v>
      </c>
      <c r="O24" s="2">
        <v>0.63</v>
      </c>
      <c r="P24" s="2">
        <v>0.27</v>
      </c>
      <c r="Q24" s="2">
        <v>0.02</v>
      </c>
      <c r="R24" s="2">
        <v>3.47</v>
      </c>
      <c r="S24" s="2">
        <v>-0.35</v>
      </c>
      <c r="T24" s="2">
        <v>2.21</v>
      </c>
      <c r="U24" s="2">
        <v>1.1</v>
      </c>
      <c r="V24" s="2" t="s">
        <v>124</v>
      </c>
    </row>
    <row r="25">
      <c r="A25" s="2" t="s">
        <v>237</v>
      </c>
      <c r="B25" s="2" t="s">
        <v>103</v>
      </c>
      <c r="C25" s="2">
        <v>198.66</v>
      </c>
      <c r="D25" s="2">
        <v>0.75</v>
      </c>
      <c r="E25" s="2" t="s">
        <v>76</v>
      </c>
      <c r="F25" s="2">
        <v>13237.6</v>
      </c>
      <c r="G25" s="2">
        <v>0.62</v>
      </c>
      <c r="H25" s="2">
        <v>0.85</v>
      </c>
      <c r="I25" s="2">
        <v>0.6</v>
      </c>
      <c r="J25" s="2">
        <v>0.91</v>
      </c>
      <c r="K25" s="2">
        <v>0.04</v>
      </c>
      <c r="L25" s="2">
        <v>3.11</v>
      </c>
      <c r="M25" s="2">
        <v>1.0</v>
      </c>
      <c r="N25" s="2">
        <v>1.0</v>
      </c>
      <c r="O25" s="2">
        <v>6.82</v>
      </c>
      <c r="P25" s="2">
        <v>0.17</v>
      </c>
      <c r="Q25" s="2">
        <v>0.09</v>
      </c>
      <c r="R25" s="2">
        <v>9.08</v>
      </c>
      <c r="S25" s="2">
        <v>5.97</v>
      </c>
      <c r="T25" s="2">
        <v>1.8</v>
      </c>
      <c r="U25" s="2">
        <v>0.34</v>
      </c>
      <c r="V25" s="2">
        <v>5.0</v>
      </c>
    </row>
    <row r="26">
      <c r="A26" s="2" t="s">
        <v>244</v>
      </c>
      <c r="B26" s="2" t="s">
        <v>103</v>
      </c>
      <c r="C26" s="2">
        <v>0.03</v>
      </c>
      <c r="D26" s="2" t="s">
        <v>106</v>
      </c>
      <c r="E26" s="2" t="s">
        <v>129</v>
      </c>
      <c r="F26" s="2" t="s">
        <v>106</v>
      </c>
      <c r="G26" s="2" t="s">
        <v>106</v>
      </c>
      <c r="H26" s="2" t="s">
        <v>106</v>
      </c>
      <c r="I26" s="2" t="s">
        <v>106</v>
      </c>
      <c r="J26" s="2" t="s">
        <v>106</v>
      </c>
      <c r="K26" s="2" t="s">
        <v>106</v>
      </c>
      <c r="L26" s="2">
        <v>2.86</v>
      </c>
      <c r="M26" s="2" t="s">
        <v>106</v>
      </c>
      <c r="N26" s="2" t="s">
        <v>106</v>
      </c>
      <c r="O26" s="2" t="s">
        <v>106</v>
      </c>
      <c r="P26" s="2" t="s">
        <v>106</v>
      </c>
      <c r="Q26" s="2" t="s">
        <v>106</v>
      </c>
      <c r="R26" s="2">
        <v>2.05</v>
      </c>
      <c r="S26" s="2">
        <v>-0.81</v>
      </c>
      <c r="T26" s="2">
        <v>1.65</v>
      </c>
      <c r="U26" s="2">
        <v>1.4</v>
      </c>
      <c r="V26" s="2" t="s">
        <v>210</v>
      </c>
    </row>
    <row r="27">
      <c r="A27" s="2" t="s">
        <v>253</v>
      </c>
      <c r="B27" s="2" t="s">
        <v>134</v>
      </c>
      <c r="C27" s="2">
        <v>0.41</v>
      </c>
      <c r="D27" s="2">
        <v>0.85</v>
      </c>
      <c r="E27" s="2" t="s">
        <v>113</v>
      </c>
      <c r="F27" s="2">
        <v>47097.4</v>
      </c>
      <c r="G27" s="2">
        <v>0.31</v>
      </c>
      <c r="H27" s="2">
        <v>0.13</v>
      </c>
      <c r="I27" s="2">
        <v>0.26</v>
      </c>
      <c r="J27" s="2">
        <v>3.24</v>
      </c>
      <c r="K27" s="2">
        <v>0.09</v>
      </c>
      <c r="L27" s="2">
        <v>4.06</v>
      </c>
      <c r="M27" s="2">
        <v>0.02</v>
      </c>
      <c r="N27" s="2">
        <v>0.01</v>
      </c>
      <c r="O27" s="2">
        <v>1.57</v>
      </c>
      <c r="P27" s="2">
        <v>1.24</v>
      </c>
      <c r="Q27" s="2">
        <v>0.03</v>
      </c>
      <c r="R27" s="2">
        <v>2.87</v>
      </c>
      <c r="S27" s="2">
        <v>-1.19</v>
      </c>
      <c r="T27" s="2">
        <v>2.34</v>
      </c>
      <c r="U27" s="2">
        <v>1.41</v>
      </c>
      <c r="V27" s="2" t="s">
        <v>164</v>
      </c>
    </row>
    <row r="28">
      <c r="A28" s="2" t="s">
        <v>259</v>
      </c>
      <c r="B28" s="2" t="s">
        <v>143</v>
      </c>
      <c r="C28" s="2">
        <v>7.28</v>
      </c>
      <c r="D28" s="2">
        <v>0.78</v>
      </c>
      <c r="E28" s="2" t="s">
        <v>76</v>
      </c>
      <c r="F28" s="2">
        <v>7615.28</v>
      </c>
      <c r="G28" s="2">
        <v>0.6</v>
      </c>
      <c r="H28" s="2">
        <v>0.13</v>
      </c>
      <c r="I28" s="2">
        <v>0.35</v>
      </c>
      <c r="J28" s="2">
        <v>2.08</v>
      </c>
      <c r="K28" s="2">
        <v>0.03</v>
      </c>
      <c r="L28" s="2">
        <v>3.32</v>
      </c>
      <c r="M28" s="2">
        <v>1.33</v>
      </c>
      <c r="N28" s="2">
        <v>0.08</v>
      </c>
      <c r="O28" s="2">
        <v>1.2</v>
      </c>
      <c r="P28" s="2">
        <v>0.12</v>
      </c>
      <c r="Q28" s="2">
        <v>0.13</v>
      </c>
      <c r="R28" s="2">
        <v>2.86</v>
      </c>
      <c r="S28" s="2">
        <v>-0.46</v>
      </c>
      <c r="T28" s="2">
        <v>1.92</v>
      </c>
      <c r="U28" s="2">
        <v>1.16</v>
      </c>
      <c r="V28" s="2">
        <v>5.0</v>
      </c>
    </row>
    <row r="29">
      <c r="A29" s="2" t="s">
        <v>264</v>
      </c>
      <c r="B29" s="2" t="s">
        <v>73</v>
      </c>
      <c r="C29" s="2">
        <v>16.46</v>
      </c>
      <c r="D29" s="2">
        <v>0.39</v>
      </c>
      <c r="E29" s="2" t="s">
        <v>55</v>
      </c>
      <c r="F29" s="2">
        <v>671.07</v>
      </c>
      <c r="G29" s="2">
        <v>0.47</v>
      </c>
      <c r="H29" s="2">
        <v>0.17</v>
      </c>
      <c r="I29" s="2">
        <v>0.36</v>
      </c>
      <c r="J29" s="2">
        <v>0.12</v>
      </c>
      <c r="K29" s="2">
        <v>0.03</v>
      </c>
      <c r="L29" s="2">
        <v>1.21</v>
      </c>
      <c r="M29" s="2">
        <v>0.5</v>
      </c>
      <c r="N29" s="2">
        <v>0.17</v>
      </c>
      <c r="O29" s="2">
        <v>0.25</v>
      </c>
      <c r="P29" s="2">
        <v>0.0</v>
      </c>
      <c r="Q29" s="2">
        <v>0.05</v>
      </c>
      <c r="R29" s="2">
        <v>0.98</v>
      </c>
      <c r="S29" s="2">
        <v>-0.22</v>
      </c>
      <c r="T29" s="2">
        <v>0.7</v>
      </c>
      <c r="U29" s="2">
        <v>1.23</v>
      </c>
      <c r="V29" s="2">
        <v>5.0</v>
      </c>
    </row>
    <row r="30">
      <c r="A30" s="2" t="s">
        <v>270</v>
      </c>
      <c r="B30" s="2" t="s">
        <v>73</v>
      </c>
      <c r="C30" s="2">
        <v>9.85</v>
      </c>
      <c r="D30" s="2">
        <v>0.39</v>
      </c>
      <c r="E30" s="2" t="s">
        <v>55</v>
      </c>
      <c r="F30" s="2">
        <v>276.69</v>
      </c>
      <c r="G30" s="2">
        <v>0.21</v>
      </c>
      <c r="H30" s="2">
        <v>0.07</v>
      </c>
      <c r="I30" s="2">
        <v>0.45</v>
      </c>
      <c r="J30" s="2">
        <v>0.04</v>
      </c>
      <c r="K30" s="2">
        <v>0.0</v>
      </c>
      <c r="L30" s="2">
        <v>0.8</v>
      </c>
      <c r="M30" s="2">
        <v>0.2</v>
      </c>
      <c r="N30" s="2">
        <v>0.07</v>
      </c>
      <c r="O30" s="2">
        <v>0.01</v>
      </c>
      <c r="P30" s="2">
        <v>0.01</v>
      </c>
      <c r="Q30" s="2">
        <v>0.03</v>
      </c>
      <c r="R30" s="2">
        <v>0.32</v>
      </c>
      <c r="S30" s="2">
        <v>-0.48</v>
      </c>
      <c r="T30" s="2">
        <v>0.46</v>
      </c>
      <c r="U30" s="2">
        <v>2.48</v>
      </c>
      <c r="V30" s="2">
        <v>4.0</v>
      </c>
    </row>
    <row r="31">
      <c r="A31" s="2" t="s">
        <v>276</v>
      </c>
      <c r="B31" s="2" t="s">
        <v>73</v>
      </c>
      <c r="C31" s="2">
        <v>0.49</v>
      </c>
      <c r="D31" s="2">
        <v>0.64</v>
      </c>
      <c r="E31" s="2" t="s">
        <v>175</v>
      </c>
      <c r="F31" s="2">
        <v>3801.45</v>
      </c>
      <c r="G31" s="2" t="s">
        <v>106</v>
      </c>
      <c r="H31" s="2" t="s">
        <v>106</v>
      </c>
      <c r="I31" s="2" t="s">
        <v>106</v>
      </c>
      <c r="J31" s="2" t="s">
        <v>106</v>
      </c>
      <c r="K31" s="2" t="s">
        <v>106</v>
      </c>
      <c r="L31" s="2">
        <v>2.52</v>
      </c>
      <c r="M31" s="2" t="s">
        <v>106</v>
      </c>
      <c r="N31" s="2" t="s">
        <v>106</v>
      </c>
      <c r="O31" s="2" t="s">
        <v>106</v>
      </c>
      <c r="P31" s="2" t="s">
        <v>106</v>
      </c>
      <c r="Q31" s="2" t="s">
        <v>106</v>
      </c>
      <c r="R31" s="2">
        <v>0.62</v>
      </c>
      <c r="S31" s="2">
        <v>-1.9</v>
      </c>
      <c r="T31" s="2">
        <v>1.46</v>
      </c>
      <c r="U31" s="2">
        <v>4.06</v>
      </c>
      <c r="V31" s="2" t="s">
        <v>210</v>
      </c>
    </row>
    <row r="32">
      <c r="A32" s="2" t="s">
        <v>279</v>
      </c>
      <c r="B32" s="2" t="s">
        <v>134</v>
      </c>
      <c r="C32" s="2">
        <v>14.86</v>
      </c>
      <c r="D32" s="2">
        <v>0.55</v>
      </c>
      <c r="E32" s="2" t="s">
        <v>175</v>
      </c>
      <c r="F32" s="2">
        <v>877.64</v>
      </c>
      <c r="G32" s="2" t="s">
        <v>106</v>
      </c>
      <c r="H32" s="2" t="s">
        <v>106</v>
      </c>
      <c r="I32" s="2" t="s">
        <v>106</v>
      </c>
      <c r="J32" s="2" t="s">
        <v>106</v>
      </c>
      <c r="K32" s="2" t="s">
        <v>106</v>
      </c>
      <c r="L32" s="2">
        <v>1.21</v>
      </c>
      <c r="M32" s="2" t="s">
        <v>106</v>
      </c>
      <c r="N32" s="2" t="s">
        <v>106</v>
      </c>
      <c r="O32" s="2" t="s">
        <v>106</v>
      </c>
      <c r="P32" s="2" t="s">
        <v>106</v>
      </c>
      <c r="Q32" s="2" t="s">
        <v>106</v>
      </c>
      <c r="R32" s="2">
        <v>1.09</v>
      </c>
      <c r="S32" s="2">
        <v>-0.11</v>
      </c>
      <c r="T32" s="2">
        <v>0.7</v>
      </c>
      <c r="U32" s="2">
        <v>1.11</v>
      </c>
      <c r="V32" s="2" t="s">
        <v>210</v>
      </c>
    </row>
    <row r="33">
      <c r="A33" s="2" t="s">
        <v>286</v>
      </c>
      <c r="B33" s="2" t="s">
        <v>73</v>
      </c>
      <c r="C33" s="2">
        <v>21.7</v>
      </c>
      <c r="D33" s="2">
        <v>0.5</v>
      </c>
      <c r="E33" s="2" t="s">
        <v>55</v>
      </c>
      <c r="F33" s="2">
        <v>1271.21</v>
      </c>
      <c r="G33" s="2">
        <v>0.54</v>
      </c>
      <c r="H33" s="2">
        <v>0.1</v>
      </c>
      <c r="I33" s="2">
        <v>0.21</v>
      </c>
      <c r="J33" s="2">
        <v>0.19</v>
      </c>
      <c r="K33" s="2">
        <v>0.08</v>
      </c>
      <c r="L33" s="2">
        <v>1.17</v>
      </c>
      <c r="M33" s="2">
        <v>0.55</v>
      </c>
      <c r="N33" s="2">
        <v>0.1</v>
      </c>
      <c r="O33" s="2">
        <v>0.92</v>
      </c>
      <c r="P33" s="2">
        <v>0.08</v>
      </c>
      <c r="Q33" s="2">
        <v>0.05</v>
      </c>
      <c r="R33" s="2">
        <v>1.69</v>
      </c>
      <c r="S33" s="2">
        <v>0.52</v>
      </c>
      <c r="T33" s="2">
        <v>0.68</v>
      </c>
      <c r="U33" s="2">
        <v>0.69</v>
      </c>
      <c r="V33" s="2">
        <v>6.0</v>
      </c>
    </row>
    <row r="34">
      <c r="A34" s="2" t="s">
        <v>291</v>
      </c>
      <c r="B34" s="2" t="s">
        <v>205</v>
      </c>
      <c r="C34" s="2">
        <v>34.84</v>
      </c>
      <c r="D34" s="2">
        <v>0.91</v>
      </c>
      <c r="E34" s="2" t="s">
        <v>113</v>
      </c>
      <c r="F34" s="2">
        <v>52145.4</v>
      </c>
      <c r="G34" s="2">
        <v>1.46</v>
      </c>
      <c r="H34" s="2">
        <v>0.33</v>
      </c>
      <c r="I34" s="2">
        <v>1.2</v>
      </c>
      <c r="J34" s="2">
        <v>5.0</v>
      </c>
      <c r="K34" s="2">
        <v>0.12</v>
      </c>
      <c r="L34" s="2">
        <v>8.17</v>
      </c>
      <c r="M34" s="2">
        <v>3.11</v>
      </c>
      <c r="N34" s="2">
        <v>0.29</v>
      </c>
      <c r="O34" s="2">
        <v>9.12</v>
      </c>
      <c r="P34" s="2">
        <v>3.41</v>
      </c>
      <c r="Q34" s="2">
        <v>0.07</v>
      </c>
      <c r="R34" s="2">
        <v>16.01</v>
      </c>
      <c r="S34" s="2">
        <v>7.83</v>
      </c>
      <c r="T34" s="2">
        <v>4.72</v>
      </c>
      <c r="U34" s="2">
        <v>0.51</v>
      </c>
      <c r="V34" s="2">
        <v>5.0</v>
      </c>
    </row>
    <row r="35">
      <c r="A35" s="2" t="s">
        <v>295</v>
      </c>
      <c r="B35" s="2" t="s">
        <v>103</v>
      </c>
      <c r="C35" s="2">
        <v>0.06</v>
      </c>
      <c r="D35" s="2" t="s">
        <v>106</v>
      </c>
      <c r="E35" s="2" t="s">
        <v>129</v>
      </c>
      <c r="F35" s="2" t="s">
        <v>106</v>
      </c>
      <c r="G35" s="2">
        <v>0.36</v>
      </c>
      <c r="H35" s="2">
        <v>0.45</v>
      </c>
      <c r="I35" s="2">
        <v>1.23</v>
      </c>
      <c r="J35" s="2">
        <v>3.56</v>
      </c>
      <c r="K35" s="2">
        <v>0.05</v>
      </c>
      <c r="L35" s="2">
        <v>5.65</v>
      </c>
      <c r="M35" s="2">
        <v>0.0</v>
      </c>
      <c r="N35" s="2">
        <v>0.02</v>
      </c>
      <c r="O35" s="2">
        <v>0.19</v>
      </c>
      <c r="P35" s="2">
        <v>0.11</v>
      </c>
      <c r="Q35" s="2">
        <v>0.0</v>
      </c>
      <c r="R35" s="2">
        <v>0.32</v>
      </c>
      <c r="S35" s="2">
        <v>-5.33</v>
      </c>
      <c r="T35" s="2">
        <v>3.26</v>
      </c>
      <c r="U35" s="2">
        <v>17.91</v>
      </c>
      <c r="V35" s="2" t="s">
        <v>164</v>
      </c>
    </row>
    <row r="36">
      <c r="A36" s="2" t="s">
        <v>301</v>
      </c>
      <c r="B36" s="2" t="s">
        <v>73</v>
      </c>
      <c r="C36" s="2">
        <v>4.53</v>
      </c>
      <c r="D36" s="2">
        <v>0.37</v>
      </c>
      <c r="E36" s="2" t="s">
        <v>55</v>
      </c>
      <c r="F36" s="2">
        <v>495.04</v>
      </c>
      <c r="G36" s="2">
        <v>0.3</v>
      </c>
      <c r="H36" s="2">
        <v>0.55</v>
      </c>
      <c r="I36" s="2">
        <v>0.26</v>
      </c>
      <c r="J36" s="2">
        <v>0.08</v>
      </c>
      <c r="K36" s="2">
        <v>0.02</v>
      </c>
      <c r="L36" s="2">
        <v>1.24</v>
      </c>
      <c r="M36" s="2">
        <v>0.29</v>
      </c>
      <c r="N36" s="2">
        <v>0.57</v>
      </c>
      <c r="O36" s="2">
        <v>6.98</v>
      </c>
      <c r="P36" s="2">
        <v>0.0</v>
      </c>
      <c r="Q36" s="2">
        <v>0.04</v>
      </c>
      <c r="R36" s="2">
        <v>7.87</v>
      </c>
      <c r="S36" s="2">
        <v>6.62</v>
      </c>
      <c r="T36" s="2">
        <v>0.72</v>
      </c>
      <c r="U36" s="2">
        <v>0.16</v>
      </c>
      <c r="V36" s="2">
        <v>6.0</v>
      </c>
    </row>
    <row r="37">
      <c r="A37" s="2" t="s">
        <v>306</v>
      </c>
      <c r="B37" s="2" t="s">
        <v>73</v>
      </c>
      <c r="C37" s="2">
        <v>12.45</v>
      </c>
      <c r="D37" s="2">
        <v>0.39</v>
      </c>
      <c r="E37" s="2" t="s">
        <v>55</v>
      </c>
      <c r="F37" s="2">
        <v>1161.22</v>
      </c>
      <c r="G37" s="2">
        <v>0.36</v>
      </c>
      <c r="H37" s="2">
        <v>0.75</v>
      </c>
      <c r="I37" s="2">
        <v>0.27</v>
      </c>
      <c r="J37" s="2">
        <v>0.01</v>
      </c>
      <c r="K37" s="2">
        <v>0.01</v>
      </c>
      <c r="L37" s="2">
        <v>1.46</v>
      </c>
      <c r="M37" s="2">
        <v>0.35</v>
      </c>
      <c r="N37" s="2">
        <v>1.15</v>
      </c>
      <c r="O37" s="2">
        <v>0.41</v>
      </c>
      <c r="P37" s="2">
        <v>0.07</v>
      </c>
      <c r="Q37" s="2">
        <v>0.05</v>
      </c>
      <c r="R37" s="2">
        <v>2.03</v>
      </c>
      <c r="S37" s="2">
        <v>0.57</v>
      </c>
      <c r="T37" s="2">
        <v>0.84</v>
      </c>
      <c r="U37" s="2">
        <v>0.72</v>
      </c>
      <c r="V37" s="2">
        <v>6.0</v>
      </c>
    </row>
    <row r="38">
      <c r="A38" s="2" t="s">
        <v>309</v>
      </c>
      <c r="B38" s="2" t="s">
        <v>103</v>
      </c>
      <c r="C38" s="2">
        <v>17.46</v>
      </c>
      <c r="D38" s="2">
        <v>0.83</v>
      </c>
      <c r="E38" s="2" t="s">
        <v>113</v>
      </c>
      <c r="F38" s="2">
        <v>14525.8</v>
      </c>
      <c r="G38" s="2">
        <v>0.61</v>
      </c>
      <c r="H38" s="2">
        <v>0.33</v>
      </c>
      <c r="I38" s="2">
        <v>0.99</v>
      </c>
      <c r="J38" s="2">
        <v>2.04</v>
      </c>
      <c r="K38" s="2">
        <v>0.25</v>
      </c>
      <c r="L38" s="2">
        <v>4.36</v>
      </c>
      <c r="M38" s="2">
        <v>0.47</v>
      </c>
      <c r="N38" s="2">
        <v>0.45</v>
      </c>
      <c r="O38" s="2">
        <v>2.19</v>
      </c>
      <c r="P38" s="2">
        <v>0.38</v>
      </c>
      <c r="Q38" s="2">
        <v>0.15</v>
      </c>
      <c r="R38" s="2">
        <v>3.63</v>
      </c>
      <c r="S38" s="2">
        <v>-0.73</v>
      </c>
      <c r="T38" s="2">
        <v>2.52</v>
      </c>
      <c r="U38" s="2">
        <v>1.2</v>
      </c>
      <c r="V38" s="2">
        <v>6.0</v>
      </c>
    </row>
    <row r="39">
      <c r="A39" s="2" t="s">
        <v>313</v>
      </c>
      <c r="B39" s="2" t="s">
        <v>134</v>
      </c>
      <c r="C39" s="2">
        <v>1408.04</v>
      </c>
      <c r="D39" s="2">
        <v>0.72</v>
      </c>
      <c r="E39" s="2" t="s">
        <v>76</v>
      </c>
      <c r="F39" s="2">
        <v>5560.94</v>
      </c>
      <c r="G39" s="2">
        <v>0.55</v>
      </c>
      <c r="H39" s="2">
        <v>0.13</v>
      </c>
      <c r="I39" s="2">
        <v>0.19</v>
      </c>
      <c r="J39" s="2">
        <v>2.32</v>
      </c>
      <c r="K39" s="2">
        <v>0.08</v>
      </c>
      <c r="L39" s="2">
        <v>3.38</v>
      </c>
      <c r="M39" s="2">
        <v>0.46</v>
      </c>
      <c r="N39" s="2">
        <v>0.1</v>
      </c>
      <c r="O39" s="2">
        <v>0.22</v>
      </c>
      <c r="P39" s="2">
        <v>0.04</v>
      </c>
      <c r="Q39" s="2">
        <v>0.12</v>
      </c>
      <c r="R39" s="2">
        <v>0.94</v>
      </c>
      <c r="S39" s="2">
        <v>-2.44</v>
      </c>
      <c r="T39" s="2">
        <v>1.95</v>
      </c>
      <c r="U39" s="2">
        <v>3.59</v>
      </c>
      <c r="V39" s="2">
        <v>6.0</v>
      </c>
    </row>
    <row r="40">
      <c r="A40" s="2" t="s">
        <v>315</v>
      </c>
      <c r="B40" s="2" t="s">
        <v>103</v>
      </c>
      <c r="C40" s="2">
        <v>47.7</v>
      </c>
      <c r="D40" s="2">
        <v>0.72</v>
      </c>
      <c r="E40" s="2" t="s">
        <v>76</v>
      </c>
      <c r="F40" s="2">
        <v>7305.22</v>
      </c>
      <c r="G40" s="2">
        <v>0.35</v>
      </c>
      <c r="H40" s="2">
        <v>0.58</v>
      </c>
      <c r="I40" s="2">
        <v>0.16</v>
      </c>
      <c r="J40" s="2">
        <v>0.67</v>
      </c>
      <c r="K40" s="2">
        <v>0.03</v>
      </c>
      <c r="L40" s="2">
        <v>1.87</v>
      </c>
      <c r="M40" s="2">
        <v>0.22</v>
      </c>
      <c r="N40" s="2">
        <v>1.13</v>
      </c>
      <c r="O40" s="2">
        <v>2.09</v>
      </c>
      <c r="P40" s="2">
        <v>0.07</v>
      </c>
      <c r="Q40" s="2">
        <v>0.09</v>
      </c>
      <c r="R40" s="2">
        <v>3.6</v>
      </c>
      <c r="S40" s="2">
        <v>1.72</v>
      </c>
      <c r="T40" s="2">
        <v>1.08</v>
      </c>
      <c r="U40" s="2">
        <v>0.52</v>
      </c>
      <c r="V40" s="2">
        <v>6.0</v>
      </c>
    </row>
    <row r="41">
      <c r="A41" s="2" t="s">
        <v>322</v>
      </c>
      <c r="B41" s="2" t="s">
        <v>73</v>
      </c>
      <c r="C41" s="2">
        <v>0.72</v>
      </c>
      <c r="D41" s="2">
        <v>0.5</v>
      </c>
      <c r="E41" s="2" t="s">
        <v>55</v>
      </c>
      <c r="F41" s="2">
        <v>860.24</v>
      </c>
      <c r="G41" s="2">
        <v>0.33</v>
      </c>
      <c r="H41" s="2">
        <v>0.03</v>
      </c>
      <c r="I41" s="2">
        <v>0.18</v>
      </c>
      <c r="J41" s="2">
        <v>0.25</v>
      </c>
      <c r="K41" s="2">
        <v>0.25</v>
      </c>
      <c r="L41" s="2">
        <v>1.03</v>
      </c>
      <c r="M41" s="2">
        <v>0.23</v>
      </c>
      <c r="N41" s="2">
        <v>0.01</v>
      </c>
      <c r="O41" s="2">
        <v>0.02</v>
      </c>
      <c r="P41" s="2">
        <v>0.07</v>
      </c>
      <c r="Q41" s="2">
        <v>0.0</v>
      </c>
      <c r="R41" s="2">
        <v>0.32</v>
      </c>
      <c r="S41" s="2">
        <v>-0.7</v>
      </c>
      <c r="T41" s="2">
        <v>0.59</v>
      </c>
      <c r="U41" s="2">
        <v>3.17</v>
      </c>
      <c r="V41" s="2" t="s">
        <v>124</v>
      </c>
    </row>
    <row r="42">
      <c r="A42" s="2" t="s">
        <v>327</v>
      </c>
      <c r="B42" s="2" t="s">
        <v>73</v>
      </c>
      <c r="C42" s="2">
        <v>4.34</v>
      </c>
      <c r="D42" s="2">
        <v>0.57</v>
      </c>
      <c r="E42" s="2" t="s">
        <v>175</v>
      </c>
      <c r="F42" s="2">
        <v>1943.69</v>
      </c>
      <c r="G42" s="2">
        <v>0.22</v>
      </c>
      <c r="H42" s="2">
        <v>0.09</v>
      </c>
      <c r="I42" s="2">
        <v>0.38</v>
      </c>
      <c r="J42" s="2">
        <v>0.47</v>
      </c>
      <c r="K42" s="2">
        <v>0.1</v>
      </c>
      <c r="L42" s="2">
        <v>1.29</v>
      </c>
      <c r="M42" s="2">
        <v>0.13</v>
      </c>
      <c r="N42" s="2">
        <v>3.06</v>
      </c>
      <c r="O42" s="2">
        <v>7.33</v>
      </c>
      <c r="P42" s="2">
        <v>0.35</v>
      </c>
      <c r="Q42" s="2">
        <v>0.03</v>
      </c>
      <c r="R42" s="2">
        <v>10.91</v>
      </c>
      <c r="S42" s="2">
        <v>9.63</v>
      </c>
      <c r="T42" s="2">
        <v>0.74</v>
      </c>
      <c r="U42" s="2">
        <v>0.12</v>
      </c>
      <c r="V42" s="2">
        <v>5.0</v>
      </c>
    </row>
    <row r="43">
      <c r="A43" s="2" t="s">
        <v>336</v>
      </c>
      <c r="B43" s="2" t="s">
        <v>73</v>
      </c>
      <c r="C43" s="2">
        <v>65.7</v>
      </c>
      <c r="D43" s="2">
        <v>0.42</v>
      </c>
      <c r="E43" s="2" t="s">
        <v>55</v>
      </c>
      <c r="F43" s="2">
        <v>338.63</v>
      </c>
      <c r="G43" s="2">
        <v>0.15</v>
      </c>
      <c r="H43" s="2">
        <v>0.01</v>
      </c>
      <c r="I43" s="2">
        <v>0.51</v>
      </c>
      <c r="J43" s="2">
        <v>0.07</v>
      </c>
      <c r="K43" s="2">
        <v>0.01</v>
      </c>
      <c r="L43" s="2">
        <v>0.82</v>
      </c>
      <c r="M43" s="2">
        <v>0.13</v>
      </c>
      <c r="N43" s="2">
        <v>0.32</v>
      </c>
      <c r="O43" s="2">
        <v>2.52</v>
      </c>
      <c r="P43" s="2">
        <v>0.05</v>
      </c>
      <c r="Q43" s="2">
        <v>0.05</v>
      </c>
      <c r="R43" s="2">
        <v>3.07</v>
      </c>
      <c r="S43" s="2">
        <v>2.25</v>
      </c>
      <c r="T43" s="2">
        <v>0.47</v>
      </c>
      <c r="U43" s="2">
        <v>0.27</v>
      </c>
      <c r="V43" s="2">
        <v>6.0</v>
      </c>
    </row>
    <row r="44">
      <c r="A44" s="2" t="s">
        <v>346</v>
      </c>
      <c r="B44" s="2" t="s">
        <v>103</v>
      </c>
      <c r="C44" s="2">
        <v>4.8</v>
      </c>
      <c r="D44" s="2">
        <v>0.76</v>
      </c>
      <c r="E44" s="2" t="s">
        <v>76</v>
      </c>
      <c r="F44" s="2">
        <v>8979.96</v>
      </c>
      <c r="G44" s="2">
        <v>0.4</v>
      </c>
      <c r="H44" s="2">
        <v>0.21</v>
      </c>
      <c r="I44" s="2">
        <v>0.68</v>
      </c>
      <c r="J44" s="2">
        <v>1.37</v>
      </c>
      <c r="K44" s="2">
        <v>0.08</v>
      </c>
      <c r="L44" s="2">
        <v>2.84</v>
      </c>
      <c r="M44" s="2">
        <v>0.38</v>
      </c>
      <c r="N44" s="2">
        <v>0.3</v>
      </c>
      <c r="O44" s="2">
        <v>0.63</v>
      </c>
      <c r="P44" s="2">
        <v>0.12</v>
      </c>
      <c r="Q44" s="2">
        <v>0.1</v>
      </c>
      <c r="R44" s="2">
        <v>1.53</v>
      </c>
      <c r="S44" s="2">
        <v>-1.31</v>
      </c>
      <c r="T44" s="2">
        <v>1.64</v>
      </c>
      <c r="U44" s="2">
        <v>1.86</v>
      </c>
      <c r="V44" s="2">
        <v>5.0</v>
      </c>
    </row>
    <row r="45">
      <c r="A45" s="2" t="s">
        <v>353</v>
      </c>
      <c r="B45" s="2" t="s">
        <v>73</v>
      </c>
      <c r="C45" s="2">
        <v>19.84</v>
      </c>
      <c r="D45" s="2" t="s">
        <v>106</v>
      </c>
      <c r="E45" s="2" t="s">
        <v>129</v>
      </c>
      <c r="F45" s="2">
        <v>1016.83</v>
      </c>
      <c r="G45" s="2">
        <v>0.51</v>
      </c>
      <c r="H45" s="2">
        <v>0.06</v>
      </c>
      <c r="I45" s="2">
        <v>0.22</v>
      </c>
      <c r="J45" s="2">
        <v>0.26</v>
      </c>
      <c r="K45" s="2">
        <v>0.14</v>
      </c>
      <c r="L45" s="2">
        <v>1.27</v>
      </c>
      <c r="M45" s="2">
        <v>0.88</v>
      </c>
      <c r="N45" s="2">
        <v>0.3</v>
      </c>
      <c r="O45" s="2">
        <v>0.48</v>
      </c>
      <c r="P45" s="2">
        <v>0.04</v>
      </c>
      <c r="Q45" s="2">
        <v>0.08</v>
      </c>
      <c r="R45" s="2">
        <v>1.78</v>
      </c>
      <c r="S45" s="2">
        <v>0.51</v>
      </c>
      <c r="T45" s="2">
        <v>0.74</v>
      </c>
      <c r="U45" s="2">
        <v>0.72</v>
      </c>
      <c r="V45" s="2">
        <v>6.0</v>
      </c>
    </row>
    <row r="46">
      <c r="A46" s="2" t="s">
        <v>362</v>
      </c>
      <c r="B46" s="2" t="s">
        <v>58</v>
      </c>
      <c r="C46" s="2">
        <v>4.31</v>
      </c>
      <c r="D46" s="2">
        <v>0.82</v>
      </c>
      <c r="E46" s="2" t="s">
        <v>113</v>
      </c>
      <c r="F46" s="2">
        <v>14522.8</v>
      </c>
      <c r="G46" s="2">
        <v>0.74</v>
      </c>
      <c r="H46" s="2">
        <v>0.13</v>
      </c>
      <c r="I46" s="2">
        <v>0.72</v>
      </c>
      <c r="J46" s="2">
        <v>2.21</v>
      </c>
      <c r="K46" s="2">
        <v>0.06</v>
      </c>
      <c r="L46" s="2">
        <v>3.92</v>
      </c>
      <c r="M46" s="2">
        <v>0.68</v>
      </c>
      <c r="N46" s="2">
        <v>0.19</v>
      </c>
      <c r="O46" s="2">
        <v>1.55</v>
      </c>
      <c r="P46" s="2">
        <v>0.33</v>
      </c>
      <c r="Q46" s="2">
        <v>0.06</v>
      </c>
      <c r="R46" s="2">
        <v>2.8</v>
      </c>
      <c r="S46" s="2">
        <v>-1.12</v>
      </c>
      <c r="T46" s="2">
        <v>2.27</v>
      </c>
      <c r="U46" s="2">
        <v>1.4</v>
      </c>
      <c r="V46" s="2">
        <v>6.0</v>
      </c>
    </row>
    <row r="47">
      <c r="A47" s="2" t="s">
        <v>366</v>
      </c>
      <c r="B47" s="2" t="s">
        <v>103</v>
      </c>
      <c r="C47" s="2">
        <v>11.27</v>
      </c>
      <c r="D47" s="2">
        <v>0.77</v>
      </c>
      <c r="E47" s="2" t="s">
        <v>76</v>
      </c>
      <c r="F47" s="2">
        <v>5175.94</v>
      </c>
      <c r="G47" s="2">
        <v>0.48</v>
      </c>
      <c r="H47" s="2">
        <v>0.11</v>
      </c>
      <c r="I47" s="2">
        <v>0.09</v>
      </c>
      <c r="J47" s="2">
        <v>1.23</v>
      </c>
      <c r="K47" s="2">
        <v>0.02</v>
      </c>
      <c r="L47" s="2">
        <v>1.95</v>
      </c>
      <c r="M47" s="2">
        <v>0.26</v>
      </c>
      <c r="N47" s="2">
        <v>0.09</v>
      </c>
      <c r="O47" s="2">
        <v>0.23</v>
      </c>
      <c r="P47" s="2">
        <v>0.16</v>
      </c>
      <c r="Q47" s="2">
        <v>0.03</v>
      </c>
      <c r="R47" s="2">
        <v>0.76</v>
      </c>
      <c r="S47" s="2">
        <v>-1.19</v>
      </c>
      <c r="T47" s="2">
        <v>1.13</v>
      </c>
      <c r="U47" s="2">
        <v>2.56</v>
      </c>
      <c r="V47" s="2">
        <v>6.0</v>
      </c>
    </row>
    <row r="48">
      <c r="A48" s="2" t="s">
        <v>375</v>
      </c>
      <c r="B48" s="2" t="s">
        <v>143</v>
      </c>
      <c r="C48" s="2">
        <v>1.13</v>
      </c>
      <c r="D48" s="2">
        <v>0.85</v>
      </c>
      <c r="E48" s="2" t="s">
        <v>113</v>
      </c>
      <c r="F48" s="2">
        <v>31454.7</v>
      </c>
      <c r="G48" s="2">
        <v>0.77</v>
      </c>
      <c r="H48" s="2">
        <v>0.08</v>
      </c>
      <c r="I48" s="2">
        <v>0.23</v>
      </c>
      <c r="J48" s="2">
        <v>2.94</v>
      </c>
      <c r="K48" s="2">
        <v>0.14</v>
      </c>
      <c r="L48" s="2">
        <v>4.21</v>
      </c>
      <c r="M48" s="2">
        <v>0.18</v>
      </c>
      <c r="N48" s="2">
        <v>0.0</v>
      </c>
      <c r="O48" s="2">
        <v>0.06</v>
      </c>
      <c r="P48" s="2">
        <v>0.06</v>
      </c>
      <c r="Q48" s="2">
        <v>0.05</v>
      </c>
      <c r="R48" s="2">
        <v>0.34</v>
      </c>
      <c r="S48" s="2">
        <v>-3.87</v>
      </c>
      <c r="T48" s="2">
        <v>2.43</v>
      </c>
      <c r="U48" s="2">
        <v>12.35</v>
      </c>
      <c r="V48" s="2">
        <v>5.0</v>
      </c>
    </row>
    <row r="49">
      <c r="A49" s="2" t="s">
        <v>386</v>
      </c>
      <c r="B49" s="2" t="s">
        <v>143</v>
      </c>
      <c r="C49" s="2">
        <v>10.66</v>
      </c>
      <c r="D49" s="2">
        <v>0.87</v>
      </c>
      <c r="E49" s="2" t="s">
        <v>113</v>
      </c>
      <c r="F49" s="2">
        <v>21676.3</v>
      </c>
      <c r="G49" s="2">
        <v>0.62</v>
      </c>
      <c r="H49" s="2">
        <v>0.24</v>
      </c>
      <c r="I49" s="2">
        <v>0.74</v>
      </c>
      <c r="J49" s="2">
        <v>3.42</v>
      </c>
      <c r="K49" s="2">
        <v>0.03</v>
      </c>
      <c r="L49" s="2">
        <v>5.19</v>
      </c>
      <c r="M49" s="2">
        <v>0.94</v>
      </c>
      <c r="N49" s="2">
        <v>0.07</v>
      </c>
      <c r="O49" s="2">
        <v>1.31</v>
      </c>
      <c r="P49" s="2">
        <v>0.0</v>
      </c>
      <c r="Q49" s="2">
        <v>0.13</v>
      </c>
      <c r="R49" s="2">
        <v>2.46</v>
      </c>
      <c r="S49" s="2">
        <v>-2.73</v>
      </c>
      <c r="T49" s="2">
        <v>3.0</v>
      </c>
      <c r="U49" s="2">
        <v>2.11</v>
      </c>
      <c r="V49" s="2">
        <v>5.0</v>
      </c>
    </row>
    <row r="50">
      <c r="A50" s="2" t="s">
        <v>393</v>
      </c>
      <c r="B50" s="2" t="s">
        <v>143</v>
      </c>
      <c r="C50" s="2">
        <v>5.6</v>
      </c>
      <c r="D50" s="2">
        <v>0.92</v>
      </c>
      <c r="E50" s="2" t="s">
        <v>113</v>
      </c>
      <c r="F50" s="2">
        <v>61413.6</v>
      </c>
      <c r="G50" s="2">
        <v>1.18</v>
      </c>
      <c r="H50" s="2">
        <v>0.47</v>
      </c>
      <c r="I50" s="2">
        <v>0.77</v>
      </c>
      <c r="J50" s="2">
        <v>2.6</v>
      </c>
      <c r="K50" s="2">
        <v>0.24</v>
      </c>
      <c r="L50" s="2">
        <v>5.51</v>
      </c>
      <c r="M50" s="2">
        <v>2.38</v>
      </c>
      <c r="N50" s="2">
        <v>0.01</v>
      </c>
      <c r="O50" s="2">
        <v>0.34</v>
      </c>
      <c r="P50" s="2">
        <v>1.8</v>
      </c>
      <c r="Q50" s="2">
        <v>0.25</v>
      </c>
      <c r="R50" s="2">
        <v>4.78</v>
      </c>
      <c r="S50" s="2">
        <v>-0.73</v>
      </c>
      <c r="T50" s="2">
        <v>3.18</v>
      </c>
      <c r="U50" s="2">
        <v>1.15</v>
      </c>
      <c r="V50" s="2">
        <v>5.0</v>
      </c>
    </row>
    <row r="51">
      <c r="A51" s="2" t="s">
        <v>398</v>
      </c>
      <c r="B51" s="2" t="s">
        <v>73</v>
      </c>
      <c r="C51" s="2">
        <v>0.86</v>
      </c>
      <c r="D51" s="2">
        <v>0.46</v>
      </c>
      <c r="E51" s="2" t="s">
        <v>55</v>
      </c>
      <c r="F51" s="2">
        <v>1433.17</v>
      </c>
      <c r="G51" s="2" t="s">
        <v>106</v>
      </c>
      <c r="H51" s="2" t="s">
        <v>106</v>
      </c>
      <c r="I51" s="2" t="s">
        <v>106</v>
      </c>
      <c r="J51" s="2" t="s">
        <v>106</v>
      </c>
      <c r="K51" s="2" t="s">
        <v>106</v>
      </c>
      <c r="L51" s="2">
        <v>2.19</v>
      </c>
      <c r="M51" s="2" t="s">
        <v>106</v>
      </c>
      <c r="N51" s="2" t="s">
        <v>106</v>
      </c>
      <c r="O51" s="2" t="s">
        <v>106</v>
      </c>
      <c r="P51" s="2" t="s">
        <v>106</v>
      </c>
      <c r="Q51" s="2" t="s">
        <v>106</v>
      </c>
      <c r="R51" s="2">
        <v>0.77</v>
      </c>
      <c r="S51" s="2">
        <v>-1.42</v>
      </c>
      <c r="T51" s="2">
        <v>1.27</v>
      </c>
      <c r="U51" s="2">
        <v>2.84</v>
      </c>
      <c r="V51" s="2">
        <v>2.0</v>
      </c>
    </row>
    <row r="52">
      <c r="A52" s="2" t="s">
        <v>405</v>
      </c>
      <c r="B52" s="2" t="s">
        <v>103</v>
      </c>
      <c r="C52" s="2">
        <v>0.07</v>
      </c>
      <c r="D52" s="2">
        <v>0.72</v>
      </c>
      <c r="E52" s="2" t="s">
        <v>76</v>
      </c>
      <c r="F52" s="2">
        <v>7088.01</v>
      </c>
      <c r="G52" s="2">
        <v>0.64</v>
      </c>
      <c r="H52" s="2">
        <v>0.15</v>
      </c>
      <c r="I52" s="2">
        <v>0.14</v>
      </c>
      <c r="J52" s="2">
        <v>1.47</v>
      </c>
      <c r="K52" s="2">
        <v>0.17</v>
      </c>
      <c r="L52" s="2">
        <v>2.57</v>
      </c>
      <c r="M52" s="2">
        <v>0.4</v>
      </c>
      <c r="N52" s="2">
        <v>0.01</v>
      </c>
      <c r="O52" s="2">
        <v>0.52</v>
      </c>
      <c r="P52" s="2">
        <v>0.1</v>
      </c>
      <c r="Q52" s="2">
        <v>0.0</v>
      </c>
      <c r="R52" s="2">
        <v>1.03</v>
      </c>
      <c r="S52" s="2">
        <v>-1.54</v>
      </c>
      <c r="T52" s="2">
        <v>1.49</v>
      </c>
      <c r="U52" s="2">
        <v>2.49</v>
      </c>
      <c r="V52" s="2">
        <v>5.0</v>
      </c>
    </row>
    <row r="53">
      <c r="A53" s="2" t="s">
        <v>415</v>
      </c>
      <c r="B53" s="2" t="s">
        <v>103</v>
      </c>
      <c r="C53" s="2">
        <v>10.28</v>
      </c>
      <c r="D53" s="2">
        <v>0.71</v>
      </c>
      <c r="E53" s="2" t="s">
        <v>76</v>
      </c>
      <c r="F53" s="2">
        <v>6085.89</v>
      </c>
      <c r="G53" s="2">
        <v>0.35</v>
      </c>
      <c r="H53" s="2">
        <v>0.12</v>
      </c>
      <c r="I53" s="2">
        <v>0.12</v>
      </c>
      <c r="J53" s="2">
        <v>0.86</v>
      </c>
      <c r="K53" s="2">
        <v>0.04</v>
      </c>
      <c r="L53" s="2">
        <v>1.53</v>
      </c>
      <c r="M53" s="2">
        <v>0.22</v>
      </c>
      <c r="N53" s="2">
        <v>0.11</v>
      </c>
      <c r="O53" s="2">
        <v>0.16</v>
      </c>
      <c r="P53" s="2">
        <v>0.02</v>
      </c>
      <c r="Q53" s="2">
        <v>0.05</v>
      </c>
      <c r="R53" s="2">
        <v>0.56</v>
      </c>
      <c r="S53" s="2">
        <v>-0.97</v>
      </c>
      <c r="T53" s="2">
        <v>0.88</v>
      </c>
      <c r="U53" s="2">
        <v>2.74</v>
      </c>
      <c r="V53" s="2">
        <v>6.0</v>
      </c>
    </row>
    <row r="54">
      <c r="A54" s="2" t="s">
        <v>423</v>
      </c>
      <c r="B54" s="2" t="s">
        <v>103</v>
      </c>
      <c r="C54" s="2">
        <v>15.49</v>
      </c>
      <c r="D54" s="2">
        <v>0.73</v>
      </c>
      <c r="E54" s="2" t="s">
        <v>76</v>
      </c>
      <c r="F54" s="2">
        <v>5192.88</v>
      </c>
      <c r="G54" s="2">
        <v>0.3</v>
      </c>
      <c r="H54" s="2">
        <v>0.3</v>
      </c>
      <c r="I54" s="2">
        <v>0.24</v>
      </c>
      <c r="J54" s="2">
        <v>1.08</v>
      </c>
      <c r="K54" s="2">
        <v>0.18</v>
      </c>
      <c r="L54" s="2">
        <v>2.17</v>
      </c>
      <c r="M54" s="2">
        <v>0.32</v>
      </c>
      <c r="N54" s="2">
        <v>0.3</v>
      </c>
      <c r="O54" s="2">
        <v>1.41</v>
      </c>
      <c r="P54" s="2">
        <v>0.11</v>
      </c>
      <c r="Q54" s="2">
        <v>0.06</v>
      </c>
      <c r="R54" s="2">
        <v>2.2</v>
      </c>
      <c r="S54" s="2">
        <v>0.03</v>
      </c>
      <c r="T54" s="2">
        <v>1.25</v>
      </c>
      <c r="U54" s="2">
        <v>0.99</v>
      </c>
      <c r="V54" s="2">
        <v>5.0</v>
      </c>
    </row>
    <row r="55">
      <c r="A55" s="2" t="s">
        <v>426</v>
      </c>
      <c r="B55" s="2" t="s">
        <v>73</v>
      </c>
      <c r="C55" s="2">
        <v>80.72</v>
      </c>
      <c r="D55" s="2">
        <v>0.69</v>
      </c>
      <c r="E55" s="2" t="s">
        <v>175</v>
      </c>
      <c r="F55" s="2">
        <v>2930.33</v>
      </c>
      <c r="G55" s="2">
        <v>0.68</v>
      </c>
      <c r="H55" s="2">
        <v>0.08</v>
      </c>
      <c r="I55" s="2">
        <v>0.17</v>
      </c>
      <c r="J55" s="2">
        <v>1.02</v>
      </c>
      <c r="K55" s="2">
        <v>0.04</v>
      </c>
      <c r="L55" s="2">
        <v>2.15</v>
      </c>
      <c r="M55" s="2">
        <v>0.38</v>
      </c>
      <c r="N55" s="2">
        <v>0.0</v>
      </c>
      <c r="O55" s="2">
        <v>0.0</v>
      </c>
      <c r="P55" s="2">
        <v>0.02</v>
      </c>
      <c r="Q55" s="2">
        <v>0.15</v>
      </c>
      <c r="R55" s="2">
        <v>0.56</v>
      </c>
      <c r="S55" s="2">
        <v>-1.59</v>
      </c>
      <c r="T55" s="2">
        <v>1.24</v>
      </c>
      <c r="U55" s="2">
        <v>3.86</v>
      </c>
      <c r="V55" s="2">
        <v>5.0</v>
      </c>
    </row>
    <row r="56">
      <c r="A56" s="2" t="s">
        <v>431</v>
      </c>
      <c r="B56" s="2" t="s">
        <v>103</v>
      </c>
      <c r="C56" s="2">
        <v>6.3</v>
      </c>
      <c r="D56" s="2">
        <v>0.66</v>
      </c>
      <c r="E56" s="2" t="s">
        <v>175</v>
      </c>
      <c r="F56" s="2">
        <v>3696.33</v>
      </c>
      <c r="G56" s="2">
        <v>0.44</v>
      </c>
      <c r="H56" s="2">
        <v>0.21</v>
      </c>
      <c r="I56" s="2">
        <v>0.4</v>
      </c>
      <c r="J56" s="2">
        <v>0.84</v>
      </c>
      <c r="K56" s="2">
        <v>0.14</v>
      </c>
      <c r="L56" s="2">
        <v>2.07</v>
      </c>
      <c r="M56" s="2">
        <v>0.27</v>
      </c>
      <c r="N56" s="2">
        <v>0.15</v>
      </c>
      <c r="O56" s="2">
        <v>0.04</v>
      </c>
      <c r="P56" s="2">
        <v>0.11</v>
      </c>
      <c r="Q56" s="2">
        <v>0.05</v>
      </c>
      <c r="R56" s="2">
        <v>0.61</v>
      </c>
      <c r="S56" s="2">
        <v>-1.46</v>
      </c>
      <c r="T56" s="2">
        <v>1.2</v>
      </c>
      <c r="U56" s="2">
        <v>3.37</v>
      </c>
      <c r="V56" s="2">
        <v>5.0</v>
      </c>
    </row>
    <row r="57">
      <c r="A57" s="2" t="s">
        <v>434</v>
      </c>
      <c r="B57" s="2" t="s">
        <v>73</v>
      </c>
      <c r="C57" s="2">
        <v>0.74</v>
      </c>
      <c r="D57" s="2">
        <v>0.58</v>
      </c>
      <c r="E57" s="2" t="s">
        <v>175</v>
      </c>
      <c r="F57" s="2">
        <v>24064.0</v>
      </c>
      <c r="G57" s="2">
        <v>0.27</v>
      </c>
      <c r="H57" s="2">
        <v>0.02</v>
      </c>
      <c r="I57" s="2">
        <v>0.26</v>
      </c>
      <c r="J57" s="2">
        <v>3.17</v>
      </c>
      <c r="K57" s="2">
        <v>0.22</v>
      </c>
      <c r="L57" s="2">
        <v>3.97</v>
      </c>
      <c r="M57" s="2">
        <v>0.13</v>
      </c>
      <c r="N57" s="2">
        <v>0.15</v>
      </c>
      <c r="O57" s="2">
        <v>3.1</v>
      </c>
      <c r="P57" s="2">
        <v>1.01</v>
      </c>
      <c r="Q57" s="2">
        <v>0.02</v>
      </c>
      <c r="R57" s="2">
        <v>4.4</v>
      </c>
      <c r="S57" s="2">
        <v>0.44</v>
      </c>
      <c r="T57" s="2">
        <v>2.29</v>
      </c>
      <c r="U57" s="2">
        <v>0.9</v>
      </c>
      <c r="V57" s="2" t="s">
        <v>164</v>
      </c>
    </row>
    <row r="58">
      <c r="A58" s="2" t="s">
        <v>439</v>
      </c>
      <c r="B58" s="2" t="s">
        <v>73</v>
      </c>
      <c r="C58" s="2">
        <v>6.13</v>
      </c>
      <c r="D58" s="2">
        <v>0.39</v>
      </c>
      <c r="E58" s="2" t="s">
        <v>55</v>
      </c>
      <c r="F58" s="2">
        <v>439.73</v>
      </c>
      <c r="G58" s="2">
        <v>0.1</v>
      </c>
      <c r="H58" s="2">
        <v>0.18</v>
      </c>
      <c r="I58" s="2">
        <v>0.06</v>
      </c>
      <c r="J58" s="2">
        <v>0.03</v>
      </c>
      <c r="K58" s="2">
        <v>0.01</v>
      </c>
      <c r="L58" s="2">
        <v>0.42</v>
      </c>
      <c r="M58" s="2">
        <v>0.07</v>
      </c>
      <c r="N58" s="2">
        <v>0.18</v>
      </c>
      <c r="O58" s="2">
        <v>0.09</v>
      </c>
      <c r="P58" s="2">
        <v>0.93</v>
      </c>
      <c r="Q58" s="2">
        <v>0.02</v>
      </c>
      <c r="R58" s="2">
        <v>1.3</v>
      </c>
      <c r="S58" s="2">
        <v>0.88</v>
      </c>
      <c r="T58" s="2">
        <v>0.24</v>
      </c>
      <c r="U58" s="2">
        <v>0.32</v>
      </c>
      <c r="V58" s="2">
        <v>5.0</v>
      </c>
    </row>
    <row r="59">
      <c r="A59" s="2" t="s">
        <v>441</v>
      </c>
      <c r="B59" s="2" t="s">
        <v>143</v>
      </c>
      <c r="C59" s="2">
        <v>1.29</v>
      </c>
      <c r="D59" s="2">
        <v>0.85</v>
      </c>
      <c r="E59" s="2" t="s">
        <v>113</v>
      </c>
      <c r="F59" s="2">
        <v>17304.4</v>
      </c>
      <c r="G59" s="2" t="s">
        <v>106</v>
      </c>
      <c r="H59" s="2" t="s">
        <v>106</v>
      </c>
      <c r="I59" s="2" t="s">
        <v>106</v>
      </c>
      <c r="J59" s="2" t="s">
        <v>106</v>
      </c>
      <c r="K59" s="2" t="s">
        <v>106</v>
      </c>
      <c r="L59" s="2">
        <v>6.86</v>
      </c>
      <c r="M59" s="2" t="s">
        <v>106</v>
      </c>
      <c r="N59" s="2" t="s">
        <v>106</v>
      </c>
      <c r="O59" s="2" t="s">
        <v>106</v>
      </c>
      <c r="P59" s="2" t="s">
        <v>106</v>
      </c>
      <c r="Q59" s="2" t="s">
        <v>106</v>
      </c>
      <c r="R59" s="2">
        <v>10.53</v>
      </c>
      <c r="S59" s="2">
        <v>3.67</v>
      </c>
      <c r="T59" s="2">
        <v>3.96</v>
      </c>
      <c r="U59" s="2">
        <v>0.65</v>
      </c>
      <c r="V59" s="2" t="s">
        <v>210</v>
      </c>
    </row>
    <row r="60">
      <c r="A60" s="2" t="s">
        <v>446</v>
      </c>
      <c r="B60" s="2" t="s">
        <v>73</v>
      </c>
      <c r="C60" s="2">
        <v>91.73</v>
      </c>
      <c r="D60" s="2">
        <v>0.43</v>
      </c>
      <c r="E60" s="2" t="s">
        <v>55</v>
      </c>
      <c r="F60" s="2">
        <v>379.38</v>
      </c>
      <c r="G60" s="2">
        <v>0.31</v>
      </c>
      <c r="H60" s="2">
        <v>0.12</v>
      </c>
      <c r="I60" s="2">
        <v>0.46</v>
      </c>
      <c r="J60" s="2">
        <v>0.07</v>
      </c>
      <c r="K60" s="2">
        <v>0.0</v>
      </c>
      <c r="L60" s="2">
        <v>1.02</v>
      </c>
      <c r="M60" s="2">
        <v>0.31</v>
      </c>
      <c r="N60" s="2">
        <v>0.12</v>
      </c>
      <c r="O60" s="2">
        <v>0.05</v>
      </c>
      <c r="P60" s="2">
        <v>0.04</v>
      </c>
      <c r="Q60" s="2">
        <v>0.06</v>
      </c>
      <c r="R60" s="2">
        <v>0.58</v>
      </c>
      <c r="S60" s="2">
        <v>-0.44</v>
      </c>
      <c r="T60" s="2">
        <v>0.59</v>
      </c>
      <c r="U60" s="2">
        <v>1.75</v>
      </c>
      <c r="V60" s="2">
        <v>6.0</v>
      </c>
    </row>
    <row r="61">
      <c r="A61" s="2" t="s">
        <v>451</v>
      </c>
      <c r="B61" s="2" t="s">
        <v>134</v>
      </c>
      <c r="C61" s="2">
        <v>0.88</v>
      </c>
      <c r="D61" s="2">
        <v>0.72</v>
      </c>
      <c r="E61" s="2" t="s">
        <v>76</v>
      </c>
      <c r="F61" s="2">
        <v>4201.37</v>
      </c>
      <c r="G61" s="2">
        <v>0.55</v>
      </c>
      <c r="H61" s="2">
        <v>0.2</v>
      </c>
      <c r="I61" s="2">
        <v>0.42</v>
      </c>
      <c r="J61" s="2">
        <v>1.06</v>
      </c>
      <c r="K61" s="2">
        <v>0.62</v>
      </c>
      <c r="L61" s="2">
        <v>2.9</v>
      </c>
      <c r="M61" s="2">
        <v>0.28</v>
      </c>
      <c r="N61" s="2">
        <v>0.09</v>
      </c>
      <c r="O61" s="2">
        <v>1.3</v>
      </c>
      <c r="P61" s="2">
        <v>0.65</v>
      </c>
      <c r="Q61" s="2">
        <v>0.04</v>
      </c>
      <c r="R61" s="2">
        <v>2.37</v>
      </c>
      <c r="S61" s="2">
        <v>-0.52</v>
      </c>
      <c r="T61" s="2">
        <v>1.67</v>
      </c>
      <c r="U61" s="2">
        <v>1.22</v>
      </c>
      <c r="V61" s="2">
        <v>5.0</v>
      </c>
    </row>
    <row r="62">
      <c r="A62" s="2" t="s">
        <v>455</v>
      </c>
      <c r="B62" s="2" t="s">
        <v>143</v>
      </c>
      <c r="C62" s="2">
        <v>5.41</v>
      </c>
      <c r="D62" s="2">
        <v>0.88</v>
      </c>
      <c r="E62" s="2" t="s">
        <v>113</v>
      </c>
      <c r="F62" s="2">
        <v>50960.2</v>
      </c>
      <c r="G62" s="2" t="s">
        <v>106</v>
      </c>
      <c r="H62" s="2" t="s">
        <v>106</v>
      </c>
      <c r="I62" s="2" t="s">
        <v>106</v>
      </c>
      <c r="J62" s="2" t="s">
        <v>106</v>
      </c>
      <c r="K62" s="2" t="s">
        <v>106</v>
      </c>
      <c r="L62" s="2">
        <v>5.87</v>
      </c>
      <c r="M62" s="2" t="s">
        <v>106</v>
      </c>
      <c r="N62" s="2" t="s">
        <v>106</v>
      </c>
      <c r="O62" s="2" t="s">
        <v>106</v>
      </c>
      <c r="P62" s="2" t="s">
        <v>106</v>
      </c>
      <c r="Q62" s="2" t="s">
        <v>106</v>
      </c>
      <c r="R62" s="2">
        <v>13.44</v>
      </c>
      <c r="S62" s="2">
        <v>7.57</v>
      </c>
      <c r="T62" s="2">
        <v>3.39</v>
      </c>
      <c r="U62" s="2">
        <v>0.44</v>
      </c>
      <c r="V62" s="2" t="s">
        <v>210</v>
      </c>
    </row>
    <row r="63">
      <c r="A63" s="2" t="s">
        <v>462</v>
      </c>
      <c r="B63" s="2" t="s">
        <v>143</v>
      </c>
      <c r="C63" s="2">
        <v>63.98</v>
      </c>
      <c r="D63" s="2">
        <v>0.89</v>
      </c>
      <c r="E63" s="2" t="s">
        <v>113</v>
      </c>
      <c r="F63" s="2">
        <v>45430.3</v>
      </c>
      <c r="G63" s="2">
        <v>1.23</v>
      </c>
      <c r="H63" s="2">
        <v>0.27</v>
      </c>
      <c r="I63" s="2">
        <v>0.53</v>
      </c>
      <c r="J63" s="2">
        <v>2.71</v>
      </c>
      <c r="K63" s="2">
        <v>0.19</v>
      </c>
      <c r="L63" s="2">
        <v>5.14</v>
      </c>
      <c r="M63" s="2">
        <v>1.67</v>
      </c>
      <c r="N63" s="2">
        <v>0.16</v>
      </c>
      <c r="O63" s="2">
        <v>0.96</v>
      </c>
      <c r="P63" s="2">
        <v>0.11</v>
      </c>
      <c r="Q63" s="2">
        <v>0.21</v>
      </c>
      <c r="R63" s="2">
        <v>3.11</v>
      </c>
      <c r="S63" s="2">
        <v>-2.04</v>
      </c>
      <c r="T63" s="2">
        <v>2.97</v>
      </c>
      <c r="U63" s="2">
        <v>1.66</v>
      </c>
      <c r="V63" s="2">
        <v>6.0</v>
      </c>
    </row>
    <row r="64">
      <c r="A64" s="2" t="s">
        <v>469</v>
      </c>
      <c r="B64" s="2" t="s">
        <v>103</v>
      </c>
      <c r="C64" s="2">
        <v>0.24</v>
      </c>
      <c r="D64" s="2" t="s">
        <v>106</v>
      </c>
      <c r="E64" s="2" t="s">
        <v>129</v>
      </c>
      <c r="F64" s="2" t="s">
        <v>106</v>
      </c>
      <c r="G64" s="2">
        <v>0.07</v>
      </c>
      <c r="H64" s="2">
        <v>0.06</v>
      </c>
      <c r="I64" s="2">
        <v>0.46</v>
      </c>
      <c r="J64" s="2">
        <v>1.58</v>
      </c>
      <c r="K64" s="2">
        <v>0.17</v>
      </c>
      <c r="L64" s="2">
        <v>2.34</v>
      </c>
      <c r="M64" s="2">
        <v>0.07</v>
      </c>
      <c r="N64" s="2">
        <v>0.06</v>
      </c>
      <c r="O64" s="2">
        <v>95.16</v>
      </c>
      <c r="P64" s="2">
        <v>16.07</v>
      </c>
      <c r="Q64" s="2">
        <v>0.0</v>
      </c>
      <c r="R64" s="2">
        <v>111.35</v>
      </c>
      <c r="S64" s="2">
        <v>109.01</v>
      </c>
      <c r="T64" s="2">
        <v>1.35</v>
      </c>
      <c r="U64" s="2">
        <v>0.02</v>
      </c>
      <c r="V64" s="2" t="s">
        <v>164</v>
      </c>
    </row>
    <row r="65">
      <c r="A65" s="2" t="s">
        <v>476</v>
      </c>
      <c r="B65" s="2" t="s">
        <v>134</v>
      </c>
      <c r="C65" s="2">
        <v>0.27</v>
      </c>
      <c r="D65" s="2" t="s">
        <v>106</v>
      </c>
      <c r="E65" s="2" t="s">
        <v>129</v>
      </c>
      <c r="F65" s="2" t="s">
        <v>106</v>
      </c>
      <c r="G65" s="2">
        <v>0.75</v>
      </c>
      <c r="H65" s="2">
        <v>0.65</v>
      </c>
      <c r="I65" s="2">
        <v>0.12</v>
      </c>
      <c r="J65" s="2">
        <v>2.39</v>
      </c>
      <c r="K65" s="2">
        <v>0.82</v>
      </c>
      <c r="L65" s="2">
        <v>4.73</v>
      </c>
      <c r="M65" s="2">
        <v>0.19</v>
      </c>
      <c r="N65" s="2">
        <v>0.03</v>
      </c>
      <c r="O65" s="2">
        <v>0.73</v>
      </c>
      <c r="P65" s="2">
        <v>0.42</v>
      </c>
      <c r="Q65" s="2">
        <v>0.0</v>
      </c>
      <c r="R65" s="2">
        <v>1.37</v>
      </c>
      <c r="S65" s="2">
        <v>-3.36</v>
      </c>
      <c r="T65" s="2">
        <v>2.73</v>
      </c>
      <c r="U65" s="2">
        <v>3.45</v>
      </c>
      <c r="V65" s="2">
        <v>5.0</v>
      </c>
    </row>
    <row r="66">
      <c r="A66" s="2" t="s">
        <v>482</v>
      </c>
      <c r="B66" s="2" t="s">
        <v>73</v>
      </c>
      <c r="C66" s="2">
        <v>1.63</v>
      </c>
      <c r="D66" s="2">
        <v>0.67</v>
      </c>
      <c r="E66" s="2" t="s">
        <v>175</v>
      </c>
      <c r="F66" s="2">
        <v>11989.0</v>
      </c>
      <c r="G66" s="2">
        <v>0.53</v>
      </c>
      <c r="H66" s="2">
        <v>0.13</v>
      </c>
      <c r="I66" s="2">
        <v>0.79</v>
      </c>
      <c r="J66" s="2">
        <v>0.43</v>
      </c>
      <c r="K66" s="2">
        <v>0.11</v>
      </c>
      <c r="L66" s="2">
        <v>2.02</v>
      </c>
      <c r="M66" s="2">
        <v>0.25</v>
      </c>
      <c r="N66" s="2">
        <v>3.6</v>
      </c>
      <c r="O66" s="2">
        <v>19.5</v>
      </c>
      <c r="P66" s="2">
        <v>2.93</v>
      </c>
      <c r="Q66" s="2">
        <v>0.03</v>
      </c>
      <c r="R66" s="2">
        <v>26.31</v>
      </c>
      <c r="S66" s="2">
        <v>24.29</v>
      </c>
      <c r="T66" s="2">
        <v>1.16</v>
      </c>
      <c r="U66" s="2">
        <v>0.08</v>
      </c>
      <c r="V66" s="2" t="s">
        <v>164</v>
      </c>
    </row>
    <row r="67">
      <c r="A67" s="2" t="s">
        <v>488</v>
      </c>
      <c r="B67" s="2" t="s">
        <v>73</v>
      </c>
      <c r="C67" s="2">
        <v>1.79</v>
      </c>
      <c r="D67" s="2">
        <v>0.44</v>
      </c>
      <c r="E67" s="2" t="s">
        <v>55</v>
      </c>
      <c r="F67" s="2">
        <v>505.76</v>
      </c>
      <c r="G67" s="2">
        <v>0.46</v>
      </c>
      <c r="H67" s="2">
        <v>0.05</v>
      </c>
      <c r="I67" s="2">
        <v>0.2</v>
      </c>
      <c r="J67" s="2">
        <v>0.21</v>
      </c>
      <c r="K67" s="2">
        <v>0.08</v>
      </c>
      <c r="L67" s="2">
        <v>1.03</v>
      </c>
      <c r="M67" s="2">
        <v>0.23</v>
      </c>
      <c r="N67" s="2">
        <v>0.04</v>
      </c>
      <c r="O67" s="2">
        <v>0.2</v>
      </c>
      <c r="P67" s="2">
        <v>0.32</v>
      </c>
      <c r="Q67" s="2">
        <v>0.03</v>
      </c>
      <c r="R67" s="2">
        <v>0.82</v>
      </c>
      <c r="S67" s="2">
        <v>-0.21</v>
      </c>
      <c r="T67" s="2">
        <v>0.6</v>
      </c>
      <c r="U67" s="2">
        <v>1.25</v>
      </c>
      <c r="V67" s="2">
        <v>5.0</v>
      </c>
    </row>
    <row r="68">
      <c r="A68" s="2" t="s">
        <v>492</v>
      </c>
      <c r="B68" s="2" t="s">
        <v>33</v>
      </c>
      <c r="C68" s="2">
        <v>4.36</v>
      </c>
      <c r="D68" s="2">
        <v>0.75</v>
      </c>
      <c r="E68" s="2" t="s">
        <v>76</v>
      </c>
      <c r="F68" s="2">
        <v>3710.7</v>
      </c>
      <c r="G68" s="2">
        <v>0.39</v>
      </c>
      <c r="H68" s="2">
        <v>0.2</v>
      </c>
      <c r="I68" s="2">
        <v>0.1</v>
      </c>
      <c r="J68" s="2">
        <v>0.83</v>
      </c>
      <c r="K68" s="2">
        <v>0.02</v>
      </c>
      <c r="L68" s="2">
        <v>1.58</v>
      </c>
      <c r="M68" s="2">
        <v>0.12</v>
      </c>
      <c r="N68" s="2">
        <v>0.36</v>
      </c>
      <c r="O68" s="2">
        <v>0.61</v>
      </c>
      <c r="P68" s="2">
        <v>0.05</v>
      </c>
      <c r="Q68" s="2">
        <v>0.04</v>
      </c>
      <c r="R68" s="2">
        <v>1.17</v>
      </c>
      <c r="S68" s="2">
        <v>-0.41</v>
      </c>
      <c r="T68" s="2">
        <v>0.91</v>
      </c>
      <c r="U68" s="2">
        <v>1.35</v>
      </c>
      <c r="V68" s="2" t="s">
        <v>124</v>
      </c>
    </row>
    <row r="69">
      <c r="A69" s="2" t="s">
        <v>495</v>
      </c>
      <c r="B69" s="2" t="s">
        <v>143</v>
      </c>
      <c r="C69" s="2">
        <v>82.8</v>
      </c>
      <c r="D69" s="2">
        <v>0.91</v>
      </c>
      <c r="E69" s="2" t="s">
        <v>113</v>
      </c>
      <c r="F69" s="2">
        <v>46822.4</v>
      </c>
      <c r="G69" s="2">
        <v>1.1</v>
      </c>
      <c r="H69" s="2">
        <v>0.14</v>
      </c>
      <c r="I69" s="2">
        <v>0.48</v>
      </c>
      <c r="J69" s="2">
        <v>3.28</v>
      </c>
      <c r="K69" s="2">
        <v>0.05</v>
      </c>
      <c r="L69" s="2">
        <v>5.3</v>
      </c>
      <c r="M69" s="2">
        <v>1.23</v>
      </c>
      <c r="N69" s="2">
        <v>0.06</v>
      </c>
      <c r="O69" s="2">
        <v>0.68</v>
      </c>
      <c r="P69" s="2">
        <v>0.07</v>
      </c>
      <c r="Q69" s="2">
        <v>0.24</v>
      </c>
      <c r="R69" s="2">
        <v>2.27</v>
      </c>
      <c r="S69" s="2">
        <v>-3.02</v>
      </c>
      <c r="T69" s="2">
        <v>3.06</v>
      </c>
      <c r="U69" s="2">
        <v>2.33</v>
      </c>
      <c r="V69" s="2">
        <v>5.0</v>
      </c>
    </row>
    <row r="70">
      <c r="A70" s="2" t="s">
        <v>500</v>
      </c>
      <c r="B70" s="2" t="s">
        <v>73</v>
      </c>
      <c r="C70" s="2">
        <v>25.37</v>
      </c>
      <c r="D70" s="2">
        <v>0.57</v>
      </c>
      <c r="E70" s="2" t="s">
        <v>175</v>
      </c>
      <c r="F70" s="2">
        <v>1627.9</v>
      </c>
      <c r="G70" s="2">
        <v>0.56</v>
      </c>
      <c r="H70" s="2">
        <v>0.07</v>
      </c>
      <c r="I70" s="2">
        <v>0.65</v>
      </c>
      <c r="J70" s="2">
        <v>0.43</v>
      </c>
      <c r="K70" s="2">
        <v>0.19</v>
      </c>
      <c r="L70" s="2">
        <v>1.97</v>
      </c>
      <c r="M70" s="2">
        <v>0.67</v>
      </c>
      <c r="N70" s="2">
        <v>0.26</v>
      </c>
      <c r="O70" s="2">
        <v>0.29</v>
      </c>
      <c r="P70" s="2">
        <v>0.06</v>
      </c>
      <c r="Q70" s="2">
        <v>0.07</v>
      </c>
      <c r="R70" s="2">
        <v>1.35</v>
      </c>
      <c r="S70" s="2">
        <v>-0.62</v>
      </c>
      <c r="T70" s="2">
        <v>1.14</v>
      </c>
      <c r="U70" s="2">
        <v>1.46</v>
      </c>
      <c r="V70" s="2">
        <v>6.0</v>
      </c>
    </row>
    <row r="71">
      <c r="A71" s="2" t="s">
        <v>505</v>
      </c>
      <c r="B71" s="2" t="s">
        <v>143</v>
      </c>
      <c r="C71" s="2">
        <v>11.12</v>
      </c>
      <c r="D71" s="2">
        <v>0.86</v>
      </c>
      <c r="E71" s="2" t="s">
        <v>113</v>
      </c>
      <c r="F71" s="2">
        <v>25987.4</v>
      </c>
      <c r="G71" s="2">
        <v>1.07</v>
      </c>
      <c r="H71" s="2">
        <v>0.35</v>
      </c>
      <c r="I71" s="2">
        <v>0.24</v>
      </c>
      <c r="J71" s="2">
        <v>2.58</v>
      </c>
      <c r="K71" s="2">
        <v>0.08</v>
      </c>
      <c r="L71" s="2">
        <v>4.38</v>
      </c>
      <c r="M71" s="2">
        <v>1.01</v>
      </c>
      <c r="N71" s="2">
        <v>0.14</v>
      </c>
      <c r="O71" s="2">
        <v>0.23</v>
      </c>
      <c r="P71" s="2">
        <v>0.17</v>
      </c>
      <c r="Q71" s="2">
        <v>0.06</v>
      </c>
      <c r="R71" s="2">
        <v>1.61</v>
      </c>
      <c r="S71" s="2">
        <v>-2.77</v>
      </c>
      <c r="T71" s="2">
        <v>2.53</v>
      </c>
      <c r="U71" s="2">
        <v>2.73</v>
      </c>
      <c r="V71" s="2">
        <v>5.0</v>
      </c>
    </row>
    <row r="72">
      <c r="A72" s="2" t="s">
        <v>509</v>
      </c>
      <c r="B72" s="2" t="s">
        <v>103</v>
      </c>
      <c r="C72" s="2">
        <v>0.1</v>
      </c>
      <c r="D72" s="2">
        <v>0.74</v>
      </c>
      <c r="E72" s="2" t="s">
        <v>76</v>
      </c>
      <c r="F72" s="2">
        <v>7410.48</v>
      </c>
      <c r="G72" s="2" t="s">
        <v>106</v>
      </c>
      <c r="H72" s="2" t="s">
        <v>106</v>
      </c>
      <c r="I72" s="2" t="s">
        <v>106</v>
      </c>
      <c r="J72" s="2" t="s">
        <v>106</v>
      </c>
      <c r="K72" s="2" t="s">
        <v>106</v>
      </c>
      <c r="L72" s="2">
        <v>2.98</v>
      </c>
      <c r="M72" s="2" t="s">
        <v>106</v>
      </c>
      <c r="N72" s="2" t="s">
        <v>106</v>
      </c>
      <c r="O72" s="2" t="s">
        <v>106</v>
      </c>
      <c r="P72" s="2" t="s">
        <v>106</v>
      </c>
      <c r="Q72" s="2" t="s">
        <v>106</v>
      </c>
      <c r="R72" s="2">
        <v>1.96</v>
      </c>
      <c r="S72" s="2">
        <v>-1.01</v>
      </c>
      <c r="T72" s="2">
        <v>1.72</v>
      </c>
      <c r="U72" s="2">
        <v>1.52</v>
      </c>
      <c r="V72" s="2" t="s">
        <v>164</v>
      </c>
    </row>
    <row r="73">
      <c r="A73" s="2" t="s">
        <v>514</v>
      </c>
      <c r="B73" s="2" t="s">
        <v>103</v>
      </c>
      <c r="C73" s="2">
        <v>0.46</v>
      </c>
      <c r="D73" s="2" t="s">
        <v>106</v>
      </c>
      <c r="E73" s="2" t="s">
        <v>129</v>
      </c>
      <c r="F73" s="2" t="s">
        <v>106</v>
      </c>
      <c r="G73" s="2">
        <v>0.11</v>
      </c>
      <c r="H73" s="2">
        <v>0.03</v>
      </c>
      <c r="I73" s="2">
        <v>0.16</v>
      </c>
      <c r="J73" s="2">
        <v>2.61</v>
      </c>
      <c r="K73" s="2">
        <v>0.31</v>
      </c>
      <c r="L73" s="2">
        <v>3.23</v>
      </c>
      <c r="M73" s="2">
        <v>0.11</v>
      </c>
      <c r="N73" s="2">
        <v>0.03</v>
      </c>
      <c r="O73" s="2">
        <v>0.13</v>
      </c>
      <c r="P73" s="2">
        <v>0.18</v>
      </c>
      <c r="Q73" s="2">
        <v>0.0</v>
      </c>
      <c r="R73" s="2">
        <v>0.45</v>
      </c>
      <c r="S73" s="2">
        <v>-2.77</v>
      </c>
      <c r="T73" s="2">
        <v>1.86</v>
      </c>
      <c r="U73" s="2">
        <v>7.14</v>
      </c>
      <c r="V73" s="2">
        <v>5.0</v>
      </c>
    </row>
    <row r="74">
      <c r="A74" s="2" t="s">
        <v>516</v>
      </c>
      <c r="B74" s="2" t="s">
        <v>103</v>
      </c>
      <c r="C74" s="2">
        <v>15.08</v>
      </c>
      <c r="D74" s="2">
        <v>0.62</v>
      </c>
      <c r="E74" s="2" t="s">
        <v>175</v>
      </c>
      <c r="F74" s="2">
        <v>3233.8</v>
      </c>
      <c r="G74" s="2">
        <v>0.37</v>
      </c>
      <c r="H74" s="2">
        <v>0.16</v>
      </c>
      <c r="I74" s="2">
        <v>0.58</v>
      </c>
      <c r="J74" s="2">
        <v>0.7</v>
      </c>
      <c r="K74" s="2">
        <v>0.01</v>
      </c>
      <c r="L74" s="2">
        <v>1.89</v>
      </c>
      <c r="M74" s="2">
        <v>0.38</v>
      </c>
      <c r="N74" s="2">
        <v>0.15</v>
      </c>
      <c r="O74" s="2">
        <v>0.34</v>
      </c>
      <c r="P74" s="2">
        <v>0.05</v>
      </c>
      <c r="Q74" s="2">
        <v>0.07</v>
      </c>
      <c r="R74" s="2">
        <v>0.99</v>
      </c>
      <c r="S74" s="2">
        <v>-0.9</v>
      </c>
      <c r="T74" s="2">
        <v>1.09</v>
      </c>
      <c r="U74" s="2">
        <v>1.91</v>
      </c>
      <c r="V74" s="2">
        <v>5.0</v>
      </c>
    </row>
    <row r="75">
      <c r="A75" s="2" t="s">
        <v>521</v>
      </c>
      <c r="B75" s="2" t="s">
        <v>73</v>
      </c>
      <c r="C75" s="2">
        <v>11.45</v>
      </c>
      <c r="D75" s="2">
        <v>0.41</v>
      </c>
      <c r="E75" s="2" t="s">
        <v>55</v>
      </c>
      <c r="F75" s="2">
        <v>459.09</v>
      </c>
      <c r="G75" s="2">
        <v>0.39</v>
      </c>
      <c r="H75" s="2">
        <v>0.32</v>
      </c>
      <c r="I75" s="2">
        <v>0.45</v>
      </c>
      <c r="J75" s="2">
        <v>0.16</v>
      </c>
      <c r="K75" s="2">
        <v>0.05</v>
      </c>
      <c r="L75" s="2">
        <v>1.41</v>
      </c>
      <c r="M75" s="2">
        <v>0.35</v>
      </c>
      <c r="N75" s="2">
        <v>0.75</v>
      </c>
      <c r="O75" s="2">
        <v>0.64</v>
      </c>
      <c r="P75" s="2">
        <v>0.3</v>
      </c>
      <c r="Q75" s="2">
        <v>0.04</v>
      </c>
      <c r="R75" s="2">
        <v>2.09</v>
      </c>
      <c r="S75" s="2">
        <v>0.68</v>
      </c>
      <c r="T75" s="2">
        <v>0.81</v>
      </c>
      <c r="U75" s="2">
        <v>0.67</v>
      </c>
      <c r="V75" s="2">
        <v>5.0</v>
      </c>
    </row>
    <row r="76">
      <c r="A76" s="2" t="s">
        <v>524</v>
      </c>
      <c r="B76" s="2" t="s">
        <v>73</v>
      </c>
      <c r="C76" s="2">
        <v>1.66</v>
      </c>
      <c r="D76" s="2">
        <v>0.42</v>
      </c>
      <c r="E76" s="2" t="s">
        <v>55</v>
      </c>
      <c r="F76" s="2">
        <v>681.25</v>
      </c>
      <c r="G76" s="2">
        <v>0.35</v>
      </c>
      <c r="H76" s="2">
        <v>0.36</v>
      </c>
      <c r="I76" s="2">
        <v>0.67</v>
      </c>
      <c r="J76" s="2">
        <v>0.09</v>
      </c>
      <c r="K76" s="2">
        <v>0.01</v>
      </c>
      <c r="L76" s="2">
        <v>1.53</v>
      </c>
      <c r="M76" s="2">
        <v>0.48</v>
      </c>
      <c r="N76" s="2">
        <v>0.36</v>
      </c>
      <c r="O76" s="2">
        <v>0.34</v>
      </c>
      <c r="P76" s="2">
        <v>1.79</v>
      </c>
      <c r="Q76" s="2">
        <v>0.06</v>
      </c>
      <c r="R76" s="2">
        <v>3.03</v>
      </c>
      <c r="S76" s="2">
        <v>1.49</v>
      </c>
      <c r="T76" s="2">
        <v>0.89</v>
      </c>
      <c r="U76" s="2">
        <v>0.51</v>
      </c>
      <c r="V76" s="2">
        <v>6.0</v>
      </c>
    </row>
    <row r="77">
      <c r="A77" s="2" t="s">
        <v>526</v>
      </c>
      <c r="B77" s="2" t="s">
        <v>103</v>
      </c>
      <c r="C77" s="2">
        <v>0.8</v>
      </c>
      <c r="D77" s="2">
        <v>0.63</v>
      </c>
      <c r="E77" s="2" t="s">
        <v>175</v>
      </c>
      <c r="F77" s="2">
        <v>3269.46</v>
      </c>
      <c r="G77" s="2">
        <v>0.7</v>
      </c>
      <c r="H77" s="2">
        <v>0.22</v>
      </c>
      <c r="I77" s="2">
        <v>0.77</v>
      </c>
      <c r="J77" s="2">
        <v>1.25</v>
      </c>
      <c r="K77" s="2">
        <v>0.06</v>
      </c>
      <c r="L77" s="2">
        <v>3.07</v>
      </c>
      <c r="M77" s="2">
        <v>0.69</v>
      </c>
      <c r="N77" s="2">
        <v>1.51</v>
      </c>
      <c r="O77" s="2">
        <v>59.19</v>
      </c>
      <c r="P77" s="2">
        <v>5.12</v>
      </c>
      <c r="Q77" s="2">
        <v>0.06</v>
      </c>
      <c r="R77" s="2">
        <v>66.58</v>
      </c>
      <c r="S77" s="2">
        <v>63.51</v>
      </c>
      <c r="T77" s="2">
        <v>1.77</v>
      </c>
      <c r="U77" s="2">
        <v>0.05</v>
      </c>
      <c r="V77" s="2">
        <v>5.0</v>
      </c>
    </row>
    <row r="78">
      <c r="A78" s="2" t="s">
        <v>533</v>
      </c>
      <c r="B78" s="2" t="s">
        <v>103</v>
      </c>
      <c r="C78" s="2">
        <v>10.17</v>
      </c>
      <c r="D78" s="2">
        <v>0.48</v>
      </c>
      <c r="E78" s="2" t="s">
        <v>55</v>
      </c>
      <c r="F78" s="2">
        <v>749.13</v>
      </c>
      <c r="G78" s="2">
        <v>0.27</v>
      </c>
      <c r="H78" s="2">
        <v>0.04</v>
      </c>
      <c r="I78" s="2">
        <v>0.1</v>
      </c>
      <c r="J78" s="2">
        <v>0.15</v>
      </c>
      <c r="K78" s="2">
        <v>0.01</v>
      </c>
      <c r="L78" s="2">
        <v>0.61</v>
      </c>
      <c r="M78" s="2">
        <v>0.18</v>
      </c>
      <c r="N78" s="2">
        <v>0.03</v>
      </c>
      <c r="O78" s="2">
        <v>0.01</v>
      </c>
      <c r="P78" s="2">
        <v>0.01</v>
      </c>
      <c r="Q78" s="2">
        <v>0.03</v>
      </c>
      <c r="R78" s="2">
        <v>0.27</v>
      </c>
      <c r="S78" s="2">
        <v>-0.34</v>
      </c>
      <c r="T78" s="2">
        <v>0.35</v>
      </c>
      <c r="U78" s="2">
        <v>2.28</v>
      </c>
      <c r="V78" s="2">
        <v>6.0</v>
      </c>
    </row>
    <row r="79">
      <c r="A79" s="2" t="s">
        <v>536</v>
      </c>
      <c r="B79" s="2" t="s">
        <v>103</v>
      </c>
      <c r="C79" s="2">
        <v>7.94</v>
      </c>
      <c r="D79" s="2">
        <v>0.61</v>
      </c>
      <c r="E79" s="2" t="s">
        <v>175</v>
      </c>
      <c r="F79" s="2">
        <v>2269.51</v>
      </c>
      <c r="G79" s="2">
        <v>0.28</v>
      </c>
      <c r="H79" s="2">
        <v>0.25</v>
      </c>
      <c r="I79" s="2">
        <v>0.5</v>
      </c>
      <c r="J79" s="2">
        <v>0.6</v>
      </c>
      <c r="K79" s="2">
        <v>0.0</v>
      </c>
      <c r="L79" s="2">
        <v>1.68</v>
      </c>
      <c r="M79" s="2">
        <v>0.33</v>
      </c>
      <c r="N79" s="2">
        <v>0.26</v>
      </c>
      <c r="O79" s="2">
        <v>0.89</v>
      </c>
      <c r="P79" s="2">
        <v>0.23</v>
      </c>
      <c r="Q79" s="2">
        <v>0.06</v>
      </c>
      <c r="R79" s="2">
        <v>1.77</v>
      </c>
      <c r="S79" s="2">
        <v>0.09</v>
      </c>
      <c r="T79" s="2">
        <v>0.97</v>
      </c>
      <c r="U79" s="2">
        <v>0.95</v>
      </c>
      <c r="V79" s="2" t="s">
        <v>124</v>
      </c>
    </row>
    <row r="80">
      <c r="A80" s="2" t="s">
        <v>541</v>
      </c>
      <c r="B80" s="2" t="s">
        <v>143</v>
      </c>
      <c r="C80" s="2">
        <v>9.98</v>
      </c>
      <c r="D80" s="2">
        <v>0.82</v>
      </c>
      <c r="E80" s="2" t="s">
        <v>113</v>
      </c>
      <c r="F80" s="2">
        <v>13964.2</v>
      </c>
      <c r="G80" s="2">
        <v>0.42</v>
      </c>
      <c r="H80" s="2">
        <v>0.08</v>
      </c>
      <c r="I80" s="2">
        <v>0.36</v>
      </c>
      <c r="J80" s="2">
        <v>1.9</v>
      </c>
      <c r="K80" s="2">
        <v>0.02</v>
      </c>
      <c r="L80" s="2">
        <v>2.92</v>
      </c>
      <c r="M80" s="2">
        <v>1.28</v>
      </c>
      <c r="N80" s="2">
        <v>0.06</v>
      </c>
      <c r="O80" s="2">
        <v>0.69</v>
      </c>
      <c r="P80" s="2">
        <v>0.0</v>
      </c>
      <c r="Q80" s="2">
        <v>0.13</v>
      </c>
      <c r="R80" s="2">
        <v>2.17</v>
      </c>
      <c r="S80" s="2">
        <v>-0.75</v>
      </c>
      <c r="T80" s="2">
        <v>1.69</v>
      </c>
      <c r="U80" s="2">
        <v>1.34</v>
      </c>
      <c r="V80" s="2">
        <v>5.0</v>
      </c>
    </row>
    <row r="81">
      <c r="A81" s="2" t="s">
        <v>547</v>
      </c>
      <c r="B81" s="2" t="s">
        <v>134</v>
      </c>
      <c r="C81" s="2">
        <v>1236.69</v>
      </c>
      <c r="D81" s="2">
        <v>0.6</v>
      </c>
      <c r="E81" s="2" t="s">
        <v>175</v>
      </c>
      <c r="F81" s="2">
        <v>1513.85</v>
      </c>
      <c r="G81" s="2">
        <v>0.34</v>
      </c>
      <c r="H81" s="2">
        <v>0.01</v>
      </c>
      <c r="I81" s="2">
        <v>0.14</v>
      </c>
      <c r="J81" s="2">
        <v>0.61</v>
      </c>
      <c r="K81" s="2">
        <v>0.02</v>
      </c>
      <c r="L81" s="2">
        <v>1.16</v>
      </c>
      <c r="M81" s="2">
        <v>0.35</v>
      </c>
      <c r="N81" s="2">
        <v>0.0</v>
      </c>
      <c r="O81" s="2">
        <v>0.02</v>
      </c>
      <c r="P81" s="2">
        <v>0.03</v>
      </c>
      <c r="Q81" s="2">
        <v>0.05</v>
      </c>
      <c r="R81" s="2">
        <v>0.45</v>
      </c>
      <c r="S81" s="2">
        <v>-0.71</v>
      </c>
      <c r="T81" s="2">
        <v>0.67</v>
      </c>
      <c r="U81" s="2">
        <v>2.55</v>
      </c>
      <c r="V81" s="2">
        <v>6.0</v>
      </c>
    </row>
    <row r="82">
      <c r="A82" s="2" t="s">
        <v>551</v>
      </c>
      <c r="B82" s="2" t="s">
        <v>134</v>
      </c>
      <c r="C82" s="2">
        <v>246.86</v>
      </c>
      <c r="D82" s="2">
        <v>0.68</v>
      </c>
      <c r="E82" s="2" t="s">
        <v>175</v>
      </c>
      <c r="F82" s="2">
        <v>3688.53</v>
      </c>
      <c r="G82" s="2">
        <v>0.44</v>
      </c>
      <c r="H82" s="2">
        <v>0.03</v>
      </c>
      <c r="I82" s="2">
        <v>0.2</v>
      </c>
      <c r="J82" s="2">
        <v>0.64</v>
      </c>
      <c r="K82" s="2">
        <v>0.21</v>
      </c>
      <c r="L82" s="2">
        <v>1.58</v>
      </c>
      <c r="M82" s="2">
        <v>0.46</v>
      </c>
      <c r="N82" s="2">
        <v>0.06</v>
      </c>
      <c r="O82" s="2">
        <v>0.3</v>
      </c>
      <c r="P82" s="2">
        <v>0.38</v>
      </c>
      <c r="Q82" s="2">
        <v>0.06</v>
      </c>
      <c r="R82" s="2">
        <v>1.26</v>
      </c>
      <c r="S82" s="2">
        <v>-0.32</v>
      </c>
      <c r="T82" s="2">
        <v>0.91</v>
      </c>
      <c r="U82" s="2">
        <v>1.25</v>
      </c>
      <c r="V82" s="2">
        <v>6.0</v>
      </c>
    </row>
    <row r="83">
      <c r="A83" s="2" t="s">
        <v>555</v>
      </c>
      <c r="B83" s="2" t="s">
        <v>33</v>
      </c>
      <c r="C83" s="2">
        <v>76.42</v>
      </c>
      <c r="D83" s="2">
        <v>0.76</v>
      </c>
      <c r="E83" s="2" t="s">
        <v>76</v>
      </c>
      <c r="F83" s="2">
        <v>7511.1</v>
      </c>
      <c r="G83" s="2">
        <v>0.69</v>
      </c>
      <c r="H83" s="2">
        <v>0.09</v>
      </c>
      <c r="I83" s="2">
        <v>0.07</v>
      </c>
      <c r="J83" s="2">
        <v>1.72</v>
      </c>
      <c r="K83" s="2">
        <v>0.12</v>
      </c>
      <c r="L83" s="2">
        <v>2.79</v>
      </c>
      <c r="M83" s="2">
        <v>0.48</v>
      </c>
      <c r="N83" s="2">
        <v>0.07</v>
      </c>
      <c r="O83" s="2">
        <v>0.06</v>
      </c>
      <c r="P83" s="2">
        <v>0.19</v>
      </c>
      <c r="Q83" s="2">
        <v>0.09</v>
      </c>
      <c r="R83" s="2">
        <v>0.9</v>
      </c>
      <c r="S83" s="2">
        <v>-1.89</v>
      </c>
      <c r="T83" s="2">
        <v>1.61</v>
      </c>
      <c r="U83" s="2">
        <v>3.1</v>
      </c>
      <c r="V83" s="2" t="s">
        <v>124</v>
      </c>
    </row>
    <row r="84">
      <c r="A84" s="2" t="s">
        <v>560</v>
      </c>
      <c r="B84" s="2" t="s">
        <v>33</v>
      </c>
      <c r="C84" s="2">
        <v>32.78</v>
      </c>
      <c r="D84" s="2">
        <v>0.65</v>
      </c>
      <c r="E84" s="2" t="s">
        <v>175</v>
      </c>
      <c r="F84" s="2">
        <v>5848.54</v>
      </c>
      <c r="G84" s="2">
        <v>0.43</v>
      </c>
      <c r="H84" s="2">
        <v>0.03</v>
      </c>
      <c r="I84" s="2">
        <v>0.01</v>
      </c>
      <c r="J84" s="2">
        <v>1.36</v>
      </c>
      <c r="K84" s="2">
        <v>0.01</v>
      </c>
      <c r="L84" s="2">
        <v>1.88</v>
      </c>
      <c r="M84" s="2">
        <v>0.18</v>
      </c>
      <c r="N84" s="2">
        <v>0.02</v>
      </c>
      <c r="O84" s="2">
        <v>0.05</v>
      </c>
      <c r="P84" s="2">
        <v>0.0</v>
      </c>
      <c r="Q84" s="2">
        <v>0.04</v>
      </c>
      <c r="R84" s="2">
        <v>0.29</v>
      </c>
      <c r="S84" s="2">
        <v>-1.59</v>
      </c>
      <c r="T84" s="2">
        <v>1.09</v>
      </c>
      <c r="U84" s="2">
        <v>6.58</v>
      </c>
      <c r="V84" s="2" t="s">
        <v>124</v>
      </c>
    </row>
    <row r="85">
      <c r="A85" s="2" t="s">
        <v>566</v>
      </c>
      <c r="B85" s="2" t="s">
        <v>143</v>
      </c>
      <c r="C85" s="2">
        <v>4.58</v>
      </c>
      <c r="D85" s="2">
        <v>0.91</v>
      </c>
      <c r="E85" s="2" t="s">
        <v>113</v>
      </c>
      <c r="F85" s="2">
        <v>52853.6</v>
      </c>
      <c r="G85" s="2">
        <v>1.08</v>
      </c>
      <c r="H85" s="2">
        <v>0.49</v>
      </c>
      <c r="I85" s="2">
        <v>0.46</v>
      </c>
      <c r="J85" s="2">
        <v>3.22</v>
      </c>
      <c r="K85" s="2">
        <v>0.18</v>
      </c>
      <c r="L85" s="2">
        <v>5.57</v>
      </c>
      <c r="M85" s="2">
        <v>0.84</v>
      </c>
      <c r="N85" s="2">
        <v>0.76</v>
      </c>
      <c r="O85" s="2">
        <v>0.5</v>
      </c>
      <c r="P85" s="2">
        <v>1.49</v>
      </c>
      <c r="Q85" s="2">
        <v>0.13</v>
      </c>
      <c r="R85" s="2">
        <v>3.73</v>
      </c>
      <c r="S85" s="2">
        <v>-1.83</v>
      </c>
      <c r="T85" s="2">
        <v>3.21</v>
      </c>
      <c r="U85" s="2">
        <v>1.49</v>
      </c>
      <c r="V85" s="2">
        <v>5.0</v>
      </c>
    </row>
    <row r="86">
      <c r="A86" s="2" t="s">
        <v>572</v>
      </c>
      <c r="B86" s="2" t="s">
        <v>33</v>
      </c>
      <c r="C86" s="2">
        <v>7.64</v>
      </c>
      <c r="D86" s="2">
        <v>0.89</v>
      </c>
      <c r="E86" s="2" t="s">
        <v>113</v>
      </c>
      <c r="F86" s="2">
        <v>33718.9</v>
      </c>
      <c r="G86" s="2">
        <v>0.89</v>
      </c>
      <c r="H86" s="2">
        <v>0.22</v>
      </c>
      <c r="I86" s="2">
        <v>0.36</v>
      </c>
      <c r="J86" s="2">
        <v>4.59</v>
      </c>
      <c r="K86" s="2">
        <v>0.07</v>
      </c>
      <c r="L86" s="2">
        <v>6.22</v>
      </c>
      <c r="M86" s="2">
        <v>0.22</v>
      </c>
      <c r="N86" s="2">
        <v>0.01</v>
      </c>
      <c r="O86" s="2">
        <v>0.03</v>
      </c>
      <c r="P86" s="2">
        <v>0.02</v>
      </c>
      <c r="Q86" s="2">
        <v>0.08</v>
      </c>
      <c r="R86" s="2">
        <v>0.35</v>
      </c>
      <c r="S86" s="2">
        <v>-5.87</v>
      </c>
      <c r="T86" s="2">
        <v>3.59</v>
      </c>
      <c r="U86" s="2">
        <v>17.59</v>
      </c>
      <c r="V86" s="2">
        <v>6.0</v>
      </c>
    </row>
    <row r="87">
      <c r="A87" s="2" t="s">
        <v>578</v>
      </c>
      <c r="B87" s="2" t="s">
        <v>143</v>
      </c>
      <c r="C87" s="2">
        <v>60.92</v>
      </c>
      <c r="D87" s="2">
        <v>0.87</v>
      </c>
      <c r="E87" s="2" t="s">
        <v>113</v>
      </c>
      <c r="F87" s="2">
        <v>38412.0</v>
      </c>
      <c r="G87" s="2">
        <v>0.91</v>
      </c>
      <c r="H87" s="2">
        <v>0.32</v>
      </c>
      <c r="I87" s="2">
        <v>0.42</v>
      </c>
      <c r="J87" s="2">
        <v>2.77</v>
      </c>
      <c r="K87" s="2">
        <v>0.12</v>
      </c>
      <c r="L87" s="2">
        <v>4.61</v>
      </c>
      <c r="M87" s="2">
        <v>0.58</v>
      </c>
      <c r="N87" s="2">
        <v>0.04</v>
      </c>
      <c r="O87" s="2">
        <v>0.33</v>
      </c>
      <c r="P87" s="2">
        <v>0.06</v>
      </c>
      <c r="Q87" s="2">
        <v>0.06</v>
      </c>
      <c r="R87" s="2">
        <v>1.08</v>
      </c>
      <c r="S87" s="2">
        <v>-3.53</v>
      </c>
      <c r="T87" s="2">
        <v>2.66</v>
      </c>
      <c r="U87" s="2">
        <v>4.28</v>
      </c>
      <c r="V87" s="2">
        <v>6.0</v>
      </c>
    </row>
    <row r="88">
      <c r="A88" s="2" t="s">
        <v>585</v>
      </c>
      <c r="B88" s="2" t="s">
        <v>103</v>
      </c>
      <c r="C88" s="2">
        <v>2.77</v>
      </c>
      <c r="D88" s="2">
        <v>0.72</v>
      </c>
      <c r="E88" s="2" t="s">
        <v>76</v>
      </c>
      <c r="F88" s="2">
        <v>5226.3</v>
      </c>
      <c r="G88" s="2">
        <v>0.41</v>
      </c>
      <c r="H88" s="2">
        <v>0.09</v>
      </c>
      <c r="I88" s="2">
        <v>0.18</v>
      </c>
      <c r="J88" s="2">
        <v>1.09</v>
      </c>
      <c r="K88" s="2">
        <v>0.07</v>
      </c>
      <c r="L88" s="2">
        <v>1.89</v>
      </c>
      <c r="M88" s="2">
        <v>0.16</v>
      </c>
      <c r="N88" s="2">
        <v>0.0</v>
      </c>
      <c r="O88" s="2">
        <v>0.1</v>
      </c>
      <c r="P88" s="2">
        <v>0.11</v>
      </c>
      <c r="Q88" s="2">
        <v>0.05</v>
      </c>
      <c r="R88" s="2">
        <v>0.43</v>
      </c>
      <c r="S88" s="2">
        <v>-1.46</v>
      </c>
      <c r="T88" s="2">
        <v>1.09</v>
      </c>
      <c r="U88" s="2">
        <v>4.39</v>
      </c>
      <c r="V88" s="2" t="s">
        <v>124</v>
      </c>
    </row>
    <row r="89">
      <c r="A89" s="2" t="s">
        <v>588</v>
      </c>
      <c r="B89" s="2" t="s">
        <v>134</v>
      </c>
      <c r="C89" s="2">
        <v>127.25</v>
      </c>
      <c r="D89" s="2">
        <v>0.89</v>
      </c>
      <c r="E89" s="2" t="s">
        <v>113</v>
      </c>
      <c r="F89" s="2">
        <v>46201.6</v>
      </c>
      <c r="G89" s="2">
        <v>0.53</v>
      </c>
      <c r="H89" s="2">
        <v>0.1</v>
      </c>
      <c r="I89" s="2">
        <v>0.27</v>
      </c>
      <c r="J89" s="2">
        <v>3.69</v>
      </c>
      <c r="K89" s="2">
        <v>0.33</v>
      </c>
      <c r="L89" s="2">
        <v>5.02</v>
      </c>
      <c r="M89" s="2">
        <v>0.16</v>
      </c>
      <c r="N89" s="2">
        <v>0.0</v>
      </c>
      <c r="O89" s="2">
        <v>0.35</v>
      </c>
      <c r="P89" s="2">
        <v>0.1</v>
      </c>
      <c r="Q89" s="2">
        <v>0.1</v>
      </c>
      <c r="R89" s="2">
        <v>0.72</v>
      </c>
      <c r="S89" s="2">
        <v>-4.3</v>
      </c>
      <c r="T89" s="2">
        <v>2.9</v>
      </c>
      <c r="U89" s="2">
        <v>7.01</v>
      </c>
      <c r="V89" s="2">
        <v>6.0</v>
      </c>
    </row>
    <row r="90">
      <c r="A90" s="2" t="s">
        <v>593</v>
      </c>
      <c r="B90" s="2" t="s">
        <v>33</v>
      </c>
      <c r="C90" s="2">
        <v>7.01</v>
      </c>
      <c r="D90" s="2">
        <v>0.75</v>
      </c>
      <c r="E90" s="2" t="s">
        <v>76</v>
      </c>
      <c r="F90" s="2">
        <v>4615.17</v>
      </c>
      <c r="G90" s="2">
        <v>0.54</v>
      </c>
      <c r="H90" s="2">
        <v>0.18</v>
      </c>
      <c r="I90" s="2">
        <v>0.17</v>
      </c>
      <c r="J90" s="2">
        <v>1.09</v>
      </c>
      <c r="K90" s="2">
        <v>0.03</v>
      </c>
      <c r="L90" s="2">
        <v>2.1</v>
      </c>
      <c r="M90" s="2">
        <v>0.09</v>
      </c>
      <c r="N90" s="2">
        <v>0.02</v>
      </c>
      <c r="O90" s="2">
        <v>0.03</v>
      </c>
      <c r="P90" s="2">
        <v>0.0</v>
      </c>
      <c r="Q90" s="2">
        <v>0.07</v>
      </c>
      <c r="R90" s="2">
        <v>0.21</v>
      </c>
      <c r="S90" s="2">
        <v>-1.89</v>
      </c>
      <c r="T90" s="2">
        <v>1.21</v>
      </c>
      <c r="U90" s="2">
        <v>9.91</v>
      </c>
      <c r="V90" s="2">
        <v>5.0</v>
      </c>
    </row>
    <row r="91">
      <c r="A91" s="2" t="s">
        <v>596</v>
      </c>
      <c r="B91" s="2" t="s">
        <v>33</v>
      </c>
      <c r="C91" s="2">
        <v>16.27</v>
      </c>
      <c r="D91" s="2">
        <v>0.78</v>
      </c>
      <c r="E91" s="2" t="s">
        <v>76</v>
      </c>
      <c r="F91" s="2">
        <v>11278.0</v>
      </c>
      <c r="G91" s="2">
        <v>0.58</v>
      </c>
      <c r="H91" s="2">
        <v>0.19</v>
      </c>
      <c r="I91" s="2">
        <v>0.12</v>
      </c>
      <c r="J91" s="2">
        <v>4.59</v>
      </c>
      <c r="K91" s="2">
        <v>0.03</v>
      </c>
      <c r="L91" s="2">
        <v>5.55</v>
      </c>
      <c r="M91" s="2">
        <v>1.14</v>
      </c>
      <c r="N91" s="2">
        <v>1.93</v>
      </c>
      <c r="O91" s="2">
        <v>0.24</v>
      </c>
      <c r="P91" s="2">
        <v>0.06</v>
      </c>
      <c r="Q91" s="2">
        <v>0.03</v>
      </c>
      <c r="R91" s="2">
        <v>3.41</v>
      </c>
      <c r="S91" s="2">
        <v>-2.14</v>
      </c>
      <c r="T91" s="2">
        <v>3.2</v>
      </c>
      <c r="U91" s="2">
        <v>1.63</v>
      </c>
      <c r="V91" s="2" t="s">
        <v>164</v>
      </c>
    </row>
    <row r="92">
      <c r="A92" s="2" t="s">
        <v>602</v>
      </c>
      <c r="B92" s="2" t="s">
        <v>73</v>
      </c>
      <c r="C92" s="2">
        <v>43.18</v>
      </c>
      <c r="D92" s="2">
        <v>0.54</v>
      </c>
      <c r="E92" s="2" t="s">
        <v>55</v>
      </c>
      <c r="F92" s="2">
        <v>1062.11</v>
      </c>
      <c r="G92" s="2">
        <v>0.25</v>
      </c>
      <c r="H92" s="2">
        <v>0.23</v>
      </c>
      <c r="I92" s="2">
        <v>0.27</v>
      </c>
      <c r="J92" s="2">
        <v>0.2</v>
      </c>
      <c r="K92" s="2">
        <v>0.05</v>
      </c>
      <c r="L92" s="2">
        <v>1.03</v>
      </c>
      <c r="M92" s="2">
        <v>0.2</v>
      </c>
      <c r="N92" s="2">
        <v>0.24</v>
      </c>
      <c r="O92" s="2">
        <v>0.02</v>
      </c>
      <c r="P92" s="2">
        <v>0.02</v>
      </c>
      <c r="Q92" s="2">
        <v>0.04</v>
      </c>
      <c r="R92" s="2">
        <v>0.51</v>
      </c>
      <c r="S92" s="2">
        <v>-0.52</v>
      </c>
      <c r="T92" s="2">
        <v>0.6</v>
      </c>
      <c r="U92" s="2">
        <v>2.02</v>
      </c>
      <c r="V92" s="2">
        <v>5.0</v>
      </c>
    </row>
    <row r="93">
      <c r="A93" s="2" t="s">
        <v>605</v>
      </c>
      <c r="B93" s="2" t="s">
        <v>134</v>
      </c>
      <c r="C93" s="2">
        <v>24.76</v>
      </c>
      <c r="D93" s="2" t="s">
        <v>106</v>
      </c>
      <c r="E93" s="2" t="s">
        <v>129</v>
      </c>
      <c r="F93" s="2" t="s">
        <v>106</v>
      </c>
      <c r="G93" s="2">
        <v>0.28</v>
      </c>
      <c r="H93" s="2">
        <v>0.0</v>
      </c>
      <c r="I93" s="2">
        <v>0.14</v>
      </c>
      <c r="J93" s="2">
        <v>0.68</v>
      </c>
      <c r="K93" s="2">
        <v>0.02</v>
      </c>
      <c r="L93" s="2">
        <v>1.17</v>
      </c>
      <c r="M93" s="2">
        <v>0.24</v>
      </c>
      <c r="N93" s="2">
        <v>0.0</v>
      </c>
      <c r="O93" s="2">
        <v>0.21</v>
      </c>
      <c r="P93" s="2">
        <v>0.09</v>
      </c>
      <c r="Q93" s="2">
        <v>0.06</v>
      </c>
      <c r="R93" s="2">
        <v>0.6</v>
      </c>
      <c r="S93" s="2">
        <v>-0.57</v>
      </c>
      <c r="T93" s="2">
        <v>0.67</v>
      </c>
      <c r="U93" s="2">
        <v>1.94</v>
      </c>
      <c r="V93" s="2">
        <v>6.0</v>
      </c>
    </row>
    <row r="94">
      <c r="A94" s="2" t="s">
        <v>609</v>
      </c>
      <c r="B94" s="2" t="s">
        <v>134</v>
      </c>
      <c r="C94" s="2">
        <v>49.0</v>
      </c>
      <c r="D94" s="2">
        <v>0.89</v>
      </c>
      <c r="E94" s="2" t="s">
        <v>113</v>
      </c>
      <c r="F94" s="2">
        <v>24155.8</v>
      </c>
      <c r="G94" s="2">
        <v>0.71</v>
      </c>
      <c r="H94" s="2">
        <v>0.12</v>
      </c>
      <c r="I94" s="2">
        <v>0.21</v>
      </c>
      <c r="J94" s="2">
        <v>4.17</v>
      </c>
      <c r="K94" s="2">
        <v>0.41</v>
      </c>
      <c r="L94" s="2">
        <v>5.69</v>
      </c>
      <c r="M94" s="2">
        <v>0.13</v>
      </c>
      <c r="N94" s="2">
        <v>0.0</v>
      </c>
      <c r="O94" s="2">
        <v>0.09</v>
      </c>
      <c r="P94" s="2">
        <v>0.4</v>
      </c>
      <c r="Q94" s="2">
        <v>0.06</v>
      </c>
      <c r="R94" s="2">
        <v>0.68</v>
      </c>
      <c r="S94" s="2">
        <v>-5.01</v>
      </c>
      <c r="T94" s="2">
        <v>3.29</v>
      </c>
      <c r="U94" s="2">
        <v>8.36</v>
      </c>
      <c r="V94" s="2">
        <v>5.0</v>
      </c>
    </row>
    <row r="95">
      <c r="A95" s="2" t="s">
        <v>614</v>
      </c>
      <c r="B95" s="2" t="s">
        <v>33</v>
      </c>
      <c r="C95" s="2">
        <v>3.25</v>
      </c>
      <c r="D95" s="2">
        <v>0.82</v>
      </c>
      <c r="E95" s="2" t="s">
        <v>113</v>
      </c>
      <c r="F95" s="2">
        <v>41830.5</v>
      </c>
      <c r="G95" s="2">
        <v>0.55</v>
      </c>
      <c r="H95" s="2">
        <v>0.24</v>
      </c>
      <c r="I95" s="2">
        <v>0.21</v>
      </c>
      <c r="J95" s="2">
        <v>6.89</v>
      </c>
      <c r="K95" s="2">
        <v>0.09</v>
      </c>
      <c r="L95" s="2">
        <v>8.13</v>
      </c>
      <c r="M95" s="2">
        <v>0.02</v>
      </c>
      <c r="N95" s="2">
        <v>0.01</v>
      </c>
      <c r="O95" s="2">
        <v>0.0</v>
      </c>
      <c r="P95" s="2">
        <v>0.37</v>
      </c>
      <c r="Q95" s="2">
        <v>0.15</v>
      </c>
      <c r="R95" s="2">
        <v>0.55</v>
      </c>
      <c r="S95" s="2">
        <v>-7.58</v>
      </c>
      <c r="T95" s="2">
        <v>4.7</v>
      </c>
      <c r="U95" s="2">
        <v>14.68</v>
      </c>
      <c r="V95" s="2" t="s">
        <v>164</v>
      </c>
    </row>
    <row r="96">
      <c r="A96" s="2" t="s">
        <v>619</v>
      </c>
      <c r="B96" s="2" t="s">
        <v>33</v>
      </c>
      <c r="C96" s="2">
        <v>5.47</v>
      </c>
      <c r="D96" s="2">
        <v>0.65</v>
      </c>
      <c r="E96" s="2" t="s">
        <v>175</v>
      </c>
      <c r="F96" s="2">
        <v>1116.37</v>
      </c>
      <c r="G96" s="2">
        <v>0.59</v>
      </c>
      <c r="H96" s="2">
        <v>0.18</v>
      </c>
      <c r="I96" s="2">
        <v>0.09</v>
      </c>
      <c r="J96" s="2">
        <v>0.95</v>
      </c>
      <c r="K96" s="2">
        <v>0.01</v>
      </c>
      <c r="L96" s="2">
        <v>1.91</v>
      </c>
      <c r="M96" s="2">
        <v>0.47</v>
      </c>
      <c r="N96" s="2">
        <v>0.63</v>
      </c>
      <c r="O96" s="2">
        <v>0.06</v>
      </c>
      <c r="P96" s="2">
        <v>0.05</v>
      </c>
      <c r="Q96" s="2">
        <v>0.08</v>
      </c>
      <c r="R96" s="2">
        <v>1.3</v>
      </c>
      <c r="S96" s="2">
        <v>-0.61</v>
      </c>
      <c r="T96" s="2">
        <v>1.1</v>
      </c>
      <c r="U96" s="2">
        <v>1.47</v>
      </c>
      <c r="V96" s="2" t="s">
        <v>124</v>
      </c>
    </row>
    <row r="97">
      <c r="A97" s="2" t="s">
        <v>623</v>
      </c>
      <c r="B97" s="2" t="s">
        <v>134</v>
      </c>
      <c r="C97" s="2">
        <v>6.65</v>
      </c>
      <c r="D97" s="2">
        <v>0.56</v>
      </c>
      <c r="E97" s="2" t="s">
        <v>175</v>
      </c>
      <c r="F97" s="2">
        <v>1236.24</v>
      </c>
      <c r="G97" s="2">
        <v>0.57</v>
      </c>
      <c r="H97" s="2">
        <v>0.08</v>
      </c>
      <c r="I97" s="2">
        <v>0.36</v>
      </c>
      <c r="J97" s="2">
        <v>0.09</v>
      </c>
      <c r="K97" s="2">
        <v>0.01</v>
      </c>
      <c r="L97" s="2">
        <v>1.22</v>
      </c>
      <c r="M97" s="2">
        <v>0.57</v>
      </c>
      <c r="N97" s="2">
        <v>0.13</v>
      </c>
      <c r="O97" s="2">
        <v>0.78</v>
      </c>
      <c r="P97" s="2">
        <v>0.03</v>
      </c>
      <c r="Q97" s="2">
        <v>0.11</v>
      </c>
      <c r="R97" s="2">
        <v>1.62</v>
      </c>
      <c r="S97" s="2">
        <v>0.4</v>
      </c>
      <c r="T97" s="2">
        <v>0.7</v>
      </c>
      <c r="U97" s="2">
        <v>0.75</v>
      </c>
      <c r="V97" s="2">
        <v>6.0</v>
      </c>
    </row>
    <row r="98">
      <c r="A98" s="2" t="s">
        <v>627</v>
      </c>
      <c r="B98" s="2" t="s">
        <v>143</v>
      </c>
      <c r="C98" s="2">
        <v>2.06</v>
      </c>
      <c r="D98" s="2">
        <v>0.81</v>
      </c>
      <c r="E98" s="2" t="s">
        <v>113</v>
      </c>
      <c r="F98" s="2">
        <v>13732.0</v>
      </c>
      <c r="G98" s="2">
        <v>2.28</v>
      </c>
      <c r="H98" s="2">
        <v>0.09</v>
      </c>
      <c r="I98" s="2">
        <v>2.02</v>
      </c>
      <c r="J98" s="2">
        <v>1.66</v>
      </c>
      <c r="K98" s="2">
        <v>0.11</v>
      </c>
      <c r="L98" s="2">
        <v>6.29</v>
      </c>
      <c r="M98" s="2">
        <v>3.1</v>
      </c>
      <c r="N98" s="2">
        <v>0.31</v>
      </c>
      <c r="O98" s="2">
        <v>4.08</v>
      </c>
      <c r="P98" s="2">
        <v>1.93</v>
      </c>
      <c r="Q98" s="2">
        <v>0.13</v>
      </c>
      <c r="R98" s="2">
        <v>9.55</v>
      </c>
      <c r="S98" s="2">
        <v>3.26</v>
      </c>
      <c r="T98" s="2">
        <v>3.63</v>
      </c>
      <c r="U98" s="2">
        <v>0.66</v>
      </c>
      <c r="V98" s="2">
        <v>5.0</v>
      </c>
    </row>
    <row r="99">
      <c r="A99" s="2" t="s">
        <v>629</v>
      </c>
      <c r="B99" s="2" t="s">
        <v>33</v>
      </c>
      <c r="C99" s="2">
        <v>4.65</v>
      </c>
      <c r="D99" s="2">
        <v>0.76</v>
      </c>
      <c r="E99" s="2" t="s">
        <v>76</v>
      </c>
      <c r="F99" s="2">
        <v>9143.86</v>
      </c>
      <c r="G99" s="2">
        <v>0.67</v>
      </c>
      <c r="H99" s="2">
        <v>0.3</v>
      </c>
      <c r="I99" s="2">
        <v>0.25</v>
      </c>
      <c r="J99" s="2">
        <v>2.52</v>
      </c>
      <c r="K99" s="2">
        <v>0.05</v>
      </c>
      <c r="L99" s="2">
        <v>3.84</v>
      </c>
      <c r="M99" s="2">
        <v>0.16</v>
      </c>
      <c r="N99" s="2">
        <v>0.04</v>
      </c>
      <c r="O99" s="2">
        <v>0.06</v>
      </c>
      <c r="P99" s="2">
        <v>0.01</v>
      </c>
      <c r="Q99" s="2">
        <v>0.06</v>
      </c>
      <c r="R99" s="2">
        <v>0.33</v>
      </c>
      <c r="S99" s="2">
        <v>-3.51</v>
      </c>
      <c r="T99" s="2">
        <v>2.22</v>
      </c>
      <c r="U99" s="2">
        <v>11.7</v>
      </c>
      <c r="V99" s="2">
        <v>6.0</v>
      </c>
    </row>
    <row r="100">
      <c r="A100" s="2" t="s">
        <v>634</v>
      </c>
      <c r="B100" s="2" t="s">
        <v>73</v>
      </c>
      <c r="C100" s="2">
        <v>2.05</v>
      </c>
      <c r="D100" s="2">
        <v>0.48</v>
      </c>
      <c r="E100" s="2" t="s">
        <v>55</v>
      </c>
      <c r="F100" s="2">
        <v>1338.42</v>
      </c>
      <c r="G100" s="2">
        <v>0.22</v>
      </c>
      <c r="H100" s="2">
        <v>0.49</v>
      </c>
      <c r="I100" s="2">
        <v>0.42</v>
      </c>
      <c r="J100" s="2">
        <v>0.51</v>
      </c>
      <c r="K100" s="2">
        <v>0.0</v>
      </c>
      <c r="L100" s="2">
        <v>1.66</v>
      </c>
      <c r="M100" s="2">
        <v>0.04</v>
      </c>
      <c r="N100" s="2">
        <v>0.74</v>
      </c>
      <c r="O100" s="2">
        <v>0.0</v>
      </c>
      <c r="P100" s="2">
        <v>0.0</v>
      </c>
      <c r="Q100" s="2">
        <v>0.01</v>
      </c>
      <c r="R100" s="2">
        <v>0.78</v>
      </c>
      <c r="S100" s="2">
        <v>-0.87</v>
      </c>
      <c r="T100" s="2">
        <v>0.96</v>
      </c>
      <c r="U100" s="2">
        <v>2.11</v>
      </c>
      <c r="V100" s="2" t="s">
        <v>124</v>
      </c>
    </row>
    <row r="101">
      <c r="A101" s="2" t="s">
        <v>637</v>
      </c>
      <c r="B101" s="2" t="s">
        <v>73</v>
      </c>
      <c r="C101" s="2">
        <v>4.19</v>
      </c>
      <c r="D101" s="2">
        <v>0.42</v>
      </c>
      <c r="E101" s="2" t="s">
        <v>55</v>
      </c>
      <c r="F101" s="2">
        <v>397.38</v>
      </c>
      <c r="G101" s="2">
        <v>0.23</v>
      </c>
      <c r="H101" s="2">
        <v>0.03</v>
      </c>
      <c r="I101" s="2">
        <v>0.75</v>
      </c>
      <c r="J101" s="2">
        <v>0.14</v>
      </c>
      <c r="K101" s="2">
        <v>0.03</v>
      </c>
      <c r="L101" s="2">
        <v>1.21</v>
      </c>
      <c r="M101" s="2">
        <v>0.15</v>
      </c>
      <c r="N101" s="2">
        <v>0.61</v>
      </c>
      <c r="O101" s="2">
        <v>1.45</v>
      </c>
      <c r="P101" s="2">
        <v>0.32</v>
      </c>
      <c r="Q101" s="2">
        <v>0.03</v>
      </c>
      <c r="R101" s="2">
        <v>2.57</v>
      </c>
      <c r="S101" s="2">
        <v>1.35</v>
      </c>
      <c r="T101" s="2">
        <v>0.7</v>
      </c>
      <c r="U101" s="2">
        <v>0.47</v>
      </c>
      <c r="V101" s="2" t="s">
        <v>124</v>
      </c>
    </row>
    <row r="102">
      <c r="A102" s="2" t="s">
        <v>640</v>
      </c>
      <c r="B102" s="2" t="s">
        <v>73</v>
      </c>
      <c r="C102" s="2">
        <v>6.16</v>
      </c>
      <c r="D102" s="2">
        <v>0.74</v>
      </c>
      <c r="E102" s="2" t="s">
        <v>76</v>
      </c>
      <c r="F102" s="2">
        <v>5859.43</v>
      </c>
      <c r="G102" s="2">
        <v>0.79</v>
      </c>
      <c r="H102" s="2">
        <v>0.32</v>
      </c>
      <c r="I102" s="2">
        <v>0.14</v>
      </c>
      <c r="J102" s="2">
        <v>2.33</v>
      </c>
      <c r="K102" s="2">
        <v>0.1</v>
      </c>
      <c r="L102" s="2">
        <v>3.69</v>
      </c>
      <c r="M102" s="2">
        <v>0.17</v>
      </c>
      <c r="N102" s="2">
        <v>0.23</v>
      </c>
      <c r="O102" s="2">
        <v>0.02</v>
      </c>
      <c r="P102" s="2">
        <v>0.25</v>
      </c>
      <c r="Q102" s="2">
        <v>0.02</v>
      </c>
      <c r="R102" s="2">
        <v>0.7</v>
      </c>
      <c r="S102" s="2">
        <v>-3.0</v>
      </c>
      <c r="T102" s="2">
        <v>2.13</v>
      </c>
      <c r="U102" s="2">
        <v>5.3</v>
      </c>
      <c r="V102" s="2" t="s">
        <v>124</v>
      </c>
    </row>
    <row r="103">
      <c r="A103" s="2" t="s">
        <v>642</v>
      </c>
      <c r="B103" s="2" t="s">
        <v>143</v>
      </c>
      <c r="C103" s="2">
        <v>3.03</v>
      </c>
      <c r="D103" s="2">
        <v>0.83</v>
      </c>
      <c r="E103" s="2" t="s">
        <v>113</v>
      </c>
      <c r="F103" s="2">
        <v>14373.7</v>
      </c>
      <c r="G103" s="2">
        <v>1.89</v>
      </c>
      <c r="H103" s="2">
        <v>0.21</v>
      </c>
      <c r="I103" s="2">
        <v>1.28</v>
      </c>
      <c r="J103" s="2">
        <v>2.15</v>
      </c>
      <c r="K103" s="2">
        <v>0.16</v>
      </c>
      <c r="L103" s="2">
        <v>5.83</v>
      </c>
      <c r="M103" s="2">
        <v>3.03</v>
      </c>
      <c r="N103" s="2">
        <v>0.11</v>
      </c>
      <c r="O103" s="2">
        <v>2.09</v>
      </c>
      <c r="P103" s="2">
        <v>0.3</v>
      </c>
      <c r="Q103" s="2">
        <v>0.15</v>
      </c>
      <c r="R103" s="2">
        <v>5.67</v>
      </c>
      <c r="S103" s="2">
        <v>-0.17</v>
      </c>
      <c r="T103" s="2">
        <v>3.37</v>
      </c>
      <c r="U103" s="2">
        <v>1.03</v>
      </c>
      <c r="V103" s="2">
        <v>5.0</v>
      </c>
    </row>
    <row r="104">
      <c r="A104" s="2" t="s">
        <v>647</v>
      </c>
      <c r="B104" s="2" t="s">
        <v>143</v>
      </c>
      <c r="C104" s="2">
        <v>0.52</v>
      </c>
      <c r="D104" s="2">
        <v>0.89</v>
      </c>
      <c r="E104" s="2" t="s">
        <v>113</v>
      </c>
      <c r="F104" s="2">
        <v>114665.0</v>
      </c>
      <c r="G104" s="2">
        <v>1.1</v>
      </c>
      <c r="H104" s="2">
        <v>0.76</v>
      </c>
      <c r="I104" s="2">
        <v>1.03</v>
      </c>
      <c r="J104" s="2">
        <v>12.65</v>
      </c>
      <c r="K104" s="2">
        <v>0.13</v>
      </c>
      <c r="L104" s="2">
        <v>15.82</v>
      </c>
      <c r="M104" s="2">
        <v>0.57</v>
      </c>
      <c r="N104" s="2">
        <v>0.08</v>
      </c>
      <c r="O104" s="2">
        <v>0.89</v>
      </c>
      <c r="P104" s="2">
        <v>0.0</v>
      </c>
      <c r="Q104" s="2">
        <v>0.14</v>
      </c>
      <c r="R104" s="2">
        <v>1.68</v>
      </c>
      <c r="S104" s="2">
        <v>-14.14</v>
      </c>
      <c r="T104" s="2">
        <v>9.14</v>
      </c>
      <c r="U104" s="2">
        <v>9.44</v>
      </c>
      <c r="V104" s="2">
        <v>5.0</v>
      </c>
    </row>
    <row r="105">
      <c r="A105" s="2" t="s">
        <v>653</v>
      </c>
      <c r="B105" s="2" t="s">
        <v>58</v>
      </c>
      <c r="C105" s="2">
        <v>2.11</v>
      </c>
      <c r="D105" s="2">
        <v>0.74</v>
      </c>
      <c r="E105" s="2" t="s">
        <v>76</v>
      </c>
      <c r="F105" s="2">
        <v>5174.89</v>
      </c>
      <c r="G105" s="2">
        <v>0.62</v>
      </c>
      <c r="H105" s="2">
        <v>0.21</v>
      </c>
      <c r="I105" s="2">
        <v>0.31</v>
      </c>
      <c r="J105" s="2">
        <v>2.06</v>
      </c>
      <c r="K105" s="2">
        <v>0.03</v>
      </c>
      <c r="L105" s="2">
        <v>3.26</v>
      </c>
      <c r="M105" s="2">
        <v>0.38</v>
      </c>
      <c r="N105" s="2">
        <v>0.17</v>
      </c>
      <c r="O105" s="2">
        <v>0.92</v>
      </c>
      <c r="P105" s="2">
        <v>0.02</v>
      </c>
      <c r="Q105" s="2">
        <v>0.02</v>
      </c>
      <c r="R105" s="2">
        <v>1.51</v>
      </c>
      <c r="S105" s="2">
        <v>-1.75</v>
      </c>
      <c r="T105" s="2">
        <v>1.88</v>
      </c>
      <c r="U105" s="2">
        <v>2.16</v>
      </c>
      <c r="V105" s="2">
        <v>6.0</v>
      </c>
    </row>
    <row r="106">
      <c r="A106" s="2" t="s">
        <v>656</v>
      </c>
      <c r="B106" s="2" t="s">
        <v>73</v>
      </c>
      <c r="C106" s="2">
        <v>22.29</v>
      </c>
      <c r="D106" s="2">
        <v>0.51</v>
      </c>
      <c r="E106" s="2" t="s">
        <v>55</v>
      </c>
      <c r="F106" s="2">
        <v>456.33</v>
      </c>
      <c r="G106" s="2">
        <v>0.27</v>
      </c>
      <c r="H106" s="2">
        <v>0.34</v>
      </c>
      <c r="I106" s="2">
        <v>0.24</v>
      </c>
      <c r="J106" s="2">
        <v>0.07</v>
      </c>
      <c r="K106" s="2">
        <v>0.02</v>
      </c>
      <c r="L106" s="2">
        <v>0.99</v>
      </c>
      <c r="M106" s="2">
        <v>0.26</v>
      </c>
      <c r="N106" s="2">
        <v>1.3</v>
      </c>
      <c r="O106" s="2">
        <v>0.8</v>
      </c>
      <c r="P106" s="2">
        <v>0.21</v>
      </c>
      <c r="Q106" s="2">
        <v>0.06</v>
      </c>
      <c r="R106" s="2">
        <v>2.63</v>
      </c>
      <c r="S106" s="2">
        <v>1.64</v>
      </c>
      <c r="T106" s="2">
        <v>0.57</v>
      </c>
      <c r="U106" s="2">
        <v>0.38</v>
      </c>
      <c r="V106" s="2">
        <v>6.0</v>
      </c>
    </row>
    <row r="107">
      <c r="A107" s="2" t="s">
        <v>660</v>
      </c>
      <c r="B107" s="2" t="s">
        <v>73</v>
      </c>
      <c r="C107" s="2">
        <v>15.91</v>
      </c>
      <c r="D107" s="2">
        <v>0.43</v>
      </c>
      <c r="E107" s="2" t="s">
        <v>55</v>
      </c>
      <c r="F107" s="2">
        <v>493.84</v>
      </c>
      <c r="G107" s="2">
        <v>0.43</v>
      </c>
      <c r="H107" s="2">
        <v>0.05</v>
      </c>
      <c r="I107" s="2">
        <v>0.2</v>
      </c>
      <c r="J107" s="2">
        <v>0.07</v>
      </c>
      <c r="K107" s="2">
        <v>0.01</v>
      </c>
      <c r="L107" s="2">
        <v>0.81</v>
      </c>
      <c r="M107" s="2">
        <v>0.45</v>
      </c>
      <c r="N107" s="2">
        <v>0.07</v>
      </c>
      <c r="O107" s="2">
        <v>0.02</v>
      </c>
      <c r="P107" s="2">
        <v>0.06</v>
      </c>
      <c r="Q107" s="2">
        <v>0.05</v>
      </c>
      <c r="R107" s="2">
        <v>0.66</v>
      </c>
      <c r="S107" s="2">
        <v>-0.15</v>
      </c>
      <c r="T107" s="2">
        <v>0.47</v>
      </c>
      <c r="U107" s="2">
        <v>1.22</v>
      </c>
      <c r="V107" s="2">
        <v>5.0</v>
      </c>
    </row>
    <row r="108">
      <c r="A108" s="2" t="s">
        <v>664</v>
      </c>
      <c r="B108" s="2" t="s">
        <v>134</v>
      </c>
      <c r="C108" s="2">
        <v>29.24</v>
      </c>
      <c r="D108" s="2">
        <v>0.77</v>
      </c>
      <c r="E108" s="2" t="s">
        <v>76</v>
      </c>
      <c r="F108" s="2">
        <v>10252.6</v>
      </c>
      <c r="G108" s="2">
        <v>0.67</v>
      </c>
      <c r="H108" s="2">
        <v>0.12</v>
      </c>
      <c r="I108" s="2">
        <v>0.38</v>
      </c>
      <c r="J108" s="2">
        <v>2.1</v>
      </c>
      <c r="K108" s="2">
        <v>0.36</v>
      </c>
      <c r="L108" s="2">
        <v>3.71</v>
      </c>
      <c r="M108" s="2">
        <v>0.75</v>
      </c>
      <c r="N108" s="2">
        <v>0.01</v>
      </c>
      <c r="O108" s="2">
        <v>0.73</v>
      </c>
      <c r="P108" s="2">
        <v>0.84</v>
      </c>
      <c r="Q108" s="2">
        <v>0.07</v>
      </c>
      <c r="R108" s="2">
        <v>2.41</v>
      </c>
      <c r="S108" s="2">
        <v>-1.3</v>
      </c>
      <c r="T108" s="2">
        <v>2.14</v>
      </c>
      <c r="U108" s="2">
        <v>1.54</v>
      </c>
      <c r="V108" s="2" t="s">
        <v>124</v>
      </c>
    </row>
    <row r="109">
      <c r="A109" s="2" t="s">
        <v>671</v>
      </c>
      <c r="B109" s="2" t="s">
        <v>73</v>
      </c>
      <c r="C109" s="2">
        <v>14.85</v>
      </c>
      <c r="D109" s="2">
        <v>0.41</v>
      </c>
      <c r="E109" s="2" t="s">
        <v>55</v>
      </c>
      <c r="F109" s="2">
        <v>741.22</v>
      </c>
      <c r="G109" s="2">
        <v>0.52</v>
      </c>
      <c r="H109" s="2">
        <v>0.66</v>
      </c>
      <c r="I109" s="2">
        <v>0.17</v>
      </c>
      <c r="J109" s="2">
        <v>0.1</v>
      </c>
      <c r="K109" s="2">
        <v>0.03</v>
      </c>
      <c r="L109" s="2">
        <v>1.53</v>
      </c>
      <c r="M109" s="2">
        <v>0.51</v>
      </c>
      <c r="N109" s="2">
        <v>0.71</v>
      </c>
      <c r="O109" s="2">
        <v>0.25</v>
      </c>
      <c r="P109" s="2">
        <v>0.05</v>
      </c>
      <c r="Q109" s="2">
        <v>0.06</v>
      </c>
      <c r="R109" s="2">
        <v>1.58</v>
      </c>
      <c r="S109" s="2">
        <v>0.05</v>
      </c>
      <c r="T109" s="2">
        <v>0.88</v>
      </c>
      <c r="U109" s="2">
        <v>0.97</v>
      </c>
      <c r="V109" s="2">
        <v>6.0</v>
      </c>
    </row>
    <row r="110">
      <c r="A110" s="2" t="s">
        <v>674</v>
      </c>
      <c r="B110" s="2" t="s">
        <v>103</v>
      </c>
      <c r="C110" s="2">
        <v>0.4</v>
      </c>
      <c r="D110" s="2" t="s">
        <v>106</v>
      </c>
      <c r="E110" s="2" t="s">
        <v>129</v>
      </c>
      <c r="F110" s="2" t="s">
        <v>106</v>
      </c>
      <c r="G110" s="2">
        <v>0.13</v>
      </c>
      <c r="H110" s="2">
        <v>0.02</v>
      </c>
      <c r="I110" s="2">
        <v>0.12</v>
      </c>
      <c r="J110" s="2">
        <v>1.73</v>
      </c>
      <c r="K110" s="2">
        <v>0.04</v>
      </c>
      <c r="L110" s="2">
        <v>2.08</v>
      </c>
      <c r="M110" s="2">
        <v>0.13</v>
      </c>
      <c r="N110" s="2">
        <v>0.02</v>
      </c>
      <c r="O110" s="2">
        <v>0.1</v>
      </c>
      <c r="P110" s="2">
        <v>0.09</v>
      </c>
      <c r="Q110" s="2">
        <v>0.04</v>
      </c>
      <c r="R110" s="2">
        <v>0.39</v>
      </c>
      <c r="S110" s="2">
        <v>-1.7</v>
      </c>
      <c r="T110" s="2">
        <v>1.2</v>
      </c>
      <c r="U110" s="2">
        <v>5.41</v>
      </c>
      <c r="V110" s="2" t="s">
        <v>124</v>
      </c>
    </row>
    <row r="111">
      <c r="A111" s="2" t="s">
        <v>677</v>
      </c>
      <c r="B111" s="2" t="s">
        <v>73</v>
      </c>
      <c r="C111" s="2">
        <v>3.8</v>
      </c>
      <c r="D111" s="2">
        <v>0.5</v>
      </c>
      <c r="E111" s="2" t="s">
        <v>55</v>
      </c>
      <c r="F111" s="2">
        <v>1524.39</v>
      </c>
      <c r="G111" s="2">
        <v>0.39</v>
      </c>
      <c r="H111" s="2">
        <v>1.2</v>
      </c>
      <c r="I111" s="2">
        <v>0.21</v>
      </c>
      <c r="J111" s="2">
        <v>0.55</v>
      </c>
      <c r="K111" s="2">
        <v>0.15</v>
      </c>
      <c r="L111" s="2">
        <v>2.54</v>
      </c>
      <c r="M111" s="2">
        <v>0.1</v>
      </c>
      <c r="N111" s="2">
        <v>2.91</v>
      </c>
      <c r="O111" s="2">
        <v>0.05</v>
      </c>
      <c r="P111" s="2">
        <v>1.38</v>
      </c>
      <c r="Q111" s="2">
        <v>0.04</v>
      </c>
      <c r="R111" s="2">
        <v>4.48</v>
      </c>
      <c r="S111" s="2">
        <v>1.93</v>
      </c>
      <c r="T111" s="2">
        <v>1.47</v>
      </c>
      <c r="U111" s="2">
        <v>0.57</v>
      </c>
      <c r="V111" s="2" t="s">
        <v>124</v>
      </c>
    </row>
    <row r="112">
      <c r="A112" s="2" t="s">
        <v>682</v>
      </c>
      <c r="B112" s="2" t="s">
        <v>73</v>
      </c>
      <c r="C112" s="2">
        <v>1.24</v>
      </c>
      <c r="D112" s="2">
        <v>0.77</v>
      </c>
      <c r="E112" s="2" t="s">
        <v>76</v>
      </c>
      <c r="F112" s="2">
        <v>8811.15</v>
      </c>
      <c r="G112" s="2">
        <v>0.52</v>
      </c>
      <c r="H112" s="2">
        <v>0.22</v>
      </c>
      <c r="I112" s="2">
        <v>0.18</v>
      </c>
      <c r="J112" s="2">
        <v>1.99</v>
      </c>
      <c r="K112" s="2">
        <v>0.55</v>
      </c>
      <c r="L112" s="2">
        <v>3.46</v>
      </c>
      <c r="M112" s="2">
        <v>0.14</v>
      </c>
      <c r="N112" s="2">
        <v>0.0</v>
      </c>
      <c r="O112" s="2">
        <v>0.01</v>
      </c>
      <c r="P112" s="2">
        <v>0.56</v>
      </c>
      <c r="Q112" s="2">
        <v>0.0</v>
      </c>
      <c r="R112" s="2">
        <v>0.71</v>
      </c>
      <c r="S112" s="2">
        <v>-2.75</v>
      </c>
      <c r="T112" s="2">
        <v>2.0</v>
      </c>
      <c r="U112" s="2">
        <v>4.89</v>
      </c>
      <c r="V112" s="2">
        <v>5.0</v>
      </c>
    </row>
    <row r="113">
      <c r="A113" s="2" t="s">
        <v>688</v>
      </c>
      <c r="B113" s="2" t="s">
        <v>103</v>
      </c>
      <c r="C113" s="2">
        <v>120.85</v>
      </c>
      <c r="D113" s="2">
        <v>0.75</v>
      </c>
      <c r="E113" s="2" t="s">
        <v>76</v>
      </c>
      <c r="F113" s="2">
        <v>10123.9</v>
      </c>
      <c r="G113" s="2">
        <v>0.55</v>
      </c>
      <c r="H113" s="2">
        <v>0.24</v>
      </c>
      <c r="I113" s="2">
        <v>0.25</v>
      </c>
      <c r="J113" s="2">
        <v>1.74</v>
      </c>
      <c r="K113" s="2">
        <v>0.06</v>
      </c>
      <c r="L113" s="2">
        <v>2.89</v>
      </c>
      <c r="M113" s="2">
        <v>0.37</v>
      </c>
      <c r="N113" s="2">
        <v>0.24</v>
      </c>
      <c r="O113" s="2">
        <v>0.47</v>
      </c>
      <c r="P113" s="2">
        <v>0.14</v>
      </c>
      <c r="Q113" s="2">
        <v>0.05</v>
      </c>
      <c r="R113" s="2">
        <v>1.27</v>
      </c>
      <c r="S113" s="2">
        <v>-1.62</v>
      </c>
      <c r="T113" s="2">
        <v>1.67</v>
      </c>
      <c r="U113" s="2">
        <v>2.27</v>
      </c>
      <c r="V113" s="2">
        <v>5.0</v>
      </c>
    </row>
    <row r="114">
      <c r="A114" s="2" t="s">
        <v>693</v>
      </c>
      <c r="B114" s="2" t="s">
        <v>58</v>
      </c>
      <c r="C114" s="2">
        <v>3.51</v>
      </c>
      <c r="D114" s="2">
        <v>0.68</v>
      </c>
      <c r="E114" s="2" t="s">
        <v>175</v>
      </c>
      <c r="F114" s="2">
        <v>1971.03</v>
      </c>
      <c r="G114" s="2">
        <v>0.43</v>
      </c>
      <c r="H114" s="2">
        <v>0.08</v>
      </c>
      <c r="I114" s="2">
        <v>0.15</v>
      </c>
      <c r="J114" s="2">
        <v>1.03</v>
      </c>
      <c r="K114" s="2">
        <v>0.06</v>
      </c>
      <c r="L114" s="2">
        <v>1.78</v>
      </c>
      <c r="M114" s="2">
        <v>0.59</v>
      </c>
      <c r="N114" s="2">
        <v>0.07</v>
      </c>
      <c r="O114" s="2">
        <v>0.1</v>
      </c>
      <c r="P114" s="2">
        <v>0.01</v>
      </c>
      <c r="Q114" s="2">
        <v>0.03</v>
      </c>
      <c r="R114" s="2">
        <v>0.8</v>
      </c>
      <c r="S114" s="2">
        <v>-0.98</v>
      </c>
      <c r="T114" s="2">
        <v>1.03</v>
      </c>
      <c r="U114" s="2">
        <v>2.23</v>
      </c>
      <c r="V114" s="2">
        <v>5.0</v>
      </c>
    </row>
    <row r="115">
      <c r="A115" s="2" t="s">
        <v>697</v>
      </c>
      <c r="B115" s="2" t="s">
        <v>134</v>
      </c>
      <c r="C115" s="2">
        <v>2.8</v>
      </c>
      <c r="D115" s="2">
        <v>0.71</v>
      </c>
      <c r="E115" s="2" t="s">
        <v>76</v>
      </c>
      <c r="F115" s="2">
        <v>3736.07</v>
      </c>
      <c r="G115" s="2">
        <v>0.29</v>
      </c>
      <c r="H115" s="2">
        <v>3.47</v>
      </c>
      <c r="I115" s="2">
        <v>0.17</v>
      </c>
      <c r="J115" s="2">
        <v>2.09</v>
      </c>
      <c r="K115" s="2">
        <v>0.0</v>
      </c>
      <c r="L115" s="2">
        <v>6.08</v>
      </c>
      <c r="M115" s="2">
        <v>0.21</v>
      </c>
      <c r="N115" s="2">
        <v>8.23</v>
      </c>
      <c r="O115" s="2">
        <v>7.03</v>
      </c>
      <c r="P115" s="2">
        <v>0.14</v>
      </c>
      <c r="Q115" s="2">
        <v>0.05</v>
      </c>
      <c r="R115" s="2">
        <v>15.66</v>
      </c>
      <c r="S115" s="2">
        <v>9.58</v>
      </c>
      <c r="T115" s="2">
        <v>3.51</v>
      </c>
      <c r="U115" s="2">
        <v>0.39</v>
      </c>
      <c r="V115" s="2" t="s">
        <v>124</v>
      </c>
    </row>
    <row r="116">
      <c r="A116" s="2" t="s">
        <v>701</v>
      </c>
      <c r="B116" s="2" t="s">
        <v>58</v>
      </c>
      <c r="C116" s="2">
        <v>0.62</v>
      </c>
      <c r="D116" s="2">
        <v>0.8</v>
      </c>
      <c r="E116" s="2" t="s">
        <v>76</v>
      </c>
      <c r="F116" s="2">
        <v>7251.6</v>
      </c>
      <c r="G116" s="2">
        <v>0.64</v>
      </c>
      <c r="H116" s="2">
        <v>0.33</v>
      </c>
      <c r="I116" s="2">
        <v>0.62</v>
      </c>
      <c r="J116" s="2">
        <v>2.13</v>
      </c>
      <c r="K116" s="2">
        <v>0.05</v>
      </c>
      <c r="L116" s="2">
        <v>3.78</v>
      </c>
      <c r="M116" s="2">
        <v>0.14</v>
      </c>
      <c r="N116" s="2">
        <v>0.22</v>
      </c>
      <c r="O116" s="2">
        <v>2.63</v>
      </c>
      <c r="P116" s="2">
        <v>0.24</v>
      </c>
      <c r="Q116" s="2">
        <v>0.01</v>
      </c>
      <c r="R116" s="2">
        <v>3.24</v>
      </c>
      <c r="S116" s="2">
        <v>-0.54</v>
      </c>
      <c r="T116" s="2">
        <v>2.19</v>
      </c>
      <c r="U116" s="2">
        <v>1.17</v>
      </c>
      <c r="V116" s="2">
        <v>5.0</v>
      </c>
    </row>
    <row r="117">
      <c r="A117" s="2" t="s">
        <v>704</v>
      </c>
      <c r="B117" s="2" t="s">
        <v>103</v>
      </c>
      <c r="C117" s="2">
        <v>0.0</v>
      </c>
      <c r="D117" s="2" t="s">
        <v>106</v>
      </c>
      <c r="E117" s="2" t="s">
        <v>129</v>
      </c>
      <c r="F117" s="2" t="s">
        <v>106</v>
      </c>
      <c r="G117" s="2" t="s">
        <v>106</v>
      </c>
      <c r="H117" s="2" t="s">
        <v>106</v>
      </c>
      <c r="I117" s="2" t="s">
        <v>106</v>
      </c>
      <c r="J117" s="2" t="s">
        <v>106</v>
      </c>
      <c r="K117" s="2" t="s">
        <v>106</v>
      </c>
      <c r="L117" s="2">
        <v>7.78</v>
      </c>
      <c r="M117" s="2" t="s">
        <v>106</v>
      </c>
      <c r="N117" s="2" t="s">
        <v>106</v>
      </c>
      <c r="O117" s="2" t="s">
        <v>106</v>
      </c>
      <c r="P117" s="2" t="s">
        <v>106</v>
      </c>
      <c r="Q117" s="2" t="s">
        <v>106</v>
      </c>
      <c r="R117" s="2">
        <v>1.36</v>
      </c>
      <c r="S117" s="2">
        <v>-6.42</v>
      </c>
      <c r="T117" s="2">
        <v>4.49</v>
      </c>
      <c r="U117" s="2">
        <v>5.71</v>
      </c>
      <c r="V117" s="2">
        <v>2.0</v>
      </c>
    </row>
    <row r="118">
      <c r="A118" s="2" t="s">
        <v>709</v>
      </c>
      <c r="B118" s="2" t="s">
        <v>73</v>
      </c>
      <c r="C118" s="2">
        <v>32.52</v>
      </c>
      <c r="D118" s="2">
        <v>0.62</v>
      </c>
      <c r="E118" s="2" t="s">
        <v>175</v>
      </c>
      <c r="F118" s="2">
        <v>3149.43</v>
      </c>
      <c r="G118" s="2">
        <v>0.6</v>
      </c>
      <c r="H118" s="2">
        <v>0.17</v>
      </c>
      <c r="I118" s="2">
        <v>0.14</v>
      </c>
      <c r="J118" s="2">
        <v>0.67</v>
      </c>
      <c r="K118" s="2">
        <v>0.06</v>
      </c>
      <c r="L118" s="2">
        <v>1.68</v>
      </c>
      <c r="M118" s="2">
        <v>0.34</v>
      </c>
      <c r="N118" s="2">
        <v>0.17</v>
      </c>
      <c r="O118" s="2">
        <v>0.1</v>
      </c>
      <c r="P118" s="2">
        <v>0.07</v>
      </c>
      <c r="Q118" s="2">
        <v>0.03</v>
      </c>
      <c r="R118" s="2">
        <v>0.71</v>
      </c>
      <c r="S118" s="2">
        <v>-0.96</v>
      </c>
      <c r="T118" s="2">
        <v>0.97</v>
      </c>
      <c r="U118" s="2">
        <v>2.35</v>
      </c>
      <c r="V118" s="2">
        <v>5.0</v>
      </c>
    </row>
    <row r="119">
      <c r="A119" s="2" t="s">
        <v>714</v>
      </c>
      <c r="B119" s="2" t="s">
        <v>73</v>
      </c>
      <c r="C119" s="2">
        <v>25.2</v>
      </c>
      <c r="D119" s="2">
        <v>0.41</v>
      </c>
      <c r="E119" s="2" t="s">
        <v>55</v>
      </c>
      <c r="F119" s="2">
        <v>538.82</v>
      </c>
      <c r="G119" s="2">
        <v>0.31</v>
      </c>
      <c r="H119" s="2">
        <v>0.03</v>
      </c>
      <c r="I119" s="2">
        <v>0.29</v>
      </c>
      <c r="J119" s="2">
        <v>0.17</v>
      </c>
      <c r="K119" s="2">
        <v>0.03</v>
      </c>
      <c r="L119" s="2">
        <v>0.87</v>
      </c>
      <c r="M119" s="2">
        <v>0.28</v>
      </c>
      <c r="N119" s="2">
        <v>0.96</v>
      </c>
      <c r="O119" s="2">
        <v>0.61</v>
      </c>
      <c r="P119" s="2">
        <v>0.17</v>
      </c>
      <c r="Q119" s="2">
        <v>0.05</v>
      </c>
      <c r="R119" s="2">
        <v>2.06</v>
      </c>
      <c r="S119" s="2">
        <v>1.19</v>
      </c>
      <c r="T119" s="2">
        <v>0.5</v>
      </c>
      <c r="U119" s="2">
        <v>0.42</v>
      </c>
      <c r="V119" s="2">
        <v>5.0</v>
      </c>
    </row>
    <row r="120">
      <c r="A120" s="2" t="s">
        <v>717</v>
      </c>
      <c r="B120" s="2" t="s">
        <v>134</v>
      </c>
      <c r="C120" s="2">
        <v>52.8</v>
      </c>
      <c r="D120" s="2">
        <v>0.53</v>
      </c>
      <c r="E120" s="2" t="s">
        <v>55</v>
      </c>
      <c r="F120" s="2">
        <v>1117.58</v>
      </c>
      <c r="G120" s="2">
        <v>0.8</v>
      </c>
      <c r="H120" s="2">
        <v>0.01</v>
      </c>
      <c r="I120" s="2">
        <v>0.32</v>
      </c>
      <c r="J120" s="2">
        <v>0.09</v>
      </c>
      <c r="K120" s="2">
        <v>0.1</v>
      </c>
      <c r="L120" s="2">
        <v>1.43</v>
      </c>
      <c r="M120" s="2">
        <v>0.88</v>
      </c>
      <c r="N120" s="2">
        <v>0.0</v>
      </c>
      <c r="O120" s="2">
        <v>0.56</v>
      </c>
      <c r="P120" s="2">
        <v>0.28</v>
      </c>
      <c r="Q120" s="2">
        <v>0.11</v>
      </c>
      <c r="R120" s="2">
        <v>1.84</v>
      </c>
      <c r="S120" s="2">
        <v>0.41</v>
      </c>
      <c r="T120" s="2">
        <v>0.83</v>
      </c>
      <c r="U120" s="2">
        <v>0.78</v>
      </c>
      <c r="V120" s="2">
        <v>6.0</v>
      </c>
    </row>
    <row r="121">
      <c r="A121" s="2" t="s">
        <v>722</v>
      </c>
      <c r="B121" s="2" t="s">
        <v>73</v>
      </c>
      <c r="C121" s="2">
        <v>2.26</v>
      </c>
      <c r="D121" s="2">
        <v>0.62</v>
      </c>
      <c r="E121" s="2" t="s">
        <v>175</v>
      </c>
      <c r="F121" s="2">
        <v>5880.8</v>
      </c>
      <c r="G121" s="2">
        <v>0.33</v>
      </c>
      <c r="H121" s="2">
        <v>0.23</v>
      </c>
      <c r="I121" s="2">
        <v>0.17</v>
      </c>
      <c r="J121" s="2">
        <v>1.02</v>
      </c>
      <c r="K121" s="2">
        <v>0.72</v>
      </c>
      <c r="L121" s="2">
        <v>2.48</v>
      </c>
      <c r="M121" s="2">
        <v>0.14</v>
      </c>
      <c r="N121" s="2">
        <v>1.6</v>
      </c>
      <c r="O121" s="2">
        <v>0.36</v>
      </c>
      <c r="P121" s="2">
        <v>4.76</v>
      </c>
      <c r="Q121" s="2">
        <v>0.02</v>
      </c>
      <c r="R121" s="2">
        <v>6.88</v>
      </c>
      <c r="S121" s="2">
        <v>4.4</v>
      </c>
      <c r="T121" s="2">
        <v>1.43</v>
      </c>
      <c r="U121" s="2">
        <v>0.36</v>
      </c>
      <c r="V121" s="2" t="s">
        <v>164</v>
      </c>
    </row>
    <row r="122">
      <c r="A122" s="2" t="s">
        <v>726</v>
      </c>
      <c r="B122" s="2" t="s">
        <v>134</v>
      </c>
      <c r="C122" s="2">
        <v>0.01</v>
      </c>
      <c r="D122" s="2" t="s">
        <v>106</v>
      </c>
      <c r="E122" s="2" t="s">
        <v>129</v>
      </c>
      <c r="F122" s="2" t="s">
        <v>106</v>
      </c>
      <c r="G122" s="2" t="s">
        <v>106</v>
      </c>
      <c r="H122" s="2" t="s">
        <v>106</v>
      </c>
      <c r="I122" s="2" t="s">
        <v>106</v>
      </c>
      <c r="J122" s="2" t="s">
        <v>106</v>
      </c>
      <c r="K122" s="2" t="s">
        <v>106</v>
      </c>
      <c r="L122" s="2">
        <v>2.94</v>
      </c>
      <c r="M122" s="2" t="s">
        <v>106</v>
      </c>
      <c r="N122" s="2" t="s">
        <v>106</v>
      </c>
      <c r="O122" s="2" t="s">
        <v>106</v>
      </c>
      <c r="P122" s="2" t="s">
        <v>106</v>
      </c>
      <c r="Q122" s="2" t="s">
        <v>106</v>
      </c>
      <c r="R122" s="2">
        <v>0.19</v>
      </c>
      <c r="S122" s="2">
        <v>-2.76</v>
      </c>
      <c r="T122" s="2">
        <v>1.7</v>
      </c>
      <c r="U122" s="2">
        <v>15.83</v>
      </c>
      <c r="V122" s="2">
        <v>2.0</v>
      </c>
    </row>
    <row r="123">
      <c r="A123" s="2" t="s">
        <v>729</v>
      </c>
      <c r="B123" s="2" t="s">
        <v>134</v>
      </c>
      <c r="C123" s="2">
        <v>27.47</v>
      </c>
      <c r="D123" s="2">
        <v>0.54</v>
      </c>
      <c r="E123" s="2" t="s">
        <v>55</v>
      </c>
      <c r="F123" s="2">
        <v>700.07</v>
      </c>
      <c r="G123" s="2">
        <v>0.43</v>
      </c>
      <c r="H123" s="2">
        <v>0.07</v>
      </c>
      <c r="I123" s="2">
        <v>0.21</v>
      </c>
      <c r="J123" s="2">
        <v>0.16</v>
      </c>
      <c r="K123" s="2">
        <v>0.0</v>
      </c>
      <c r="L123" s="2">
        <v>0.98</v>
      </c>
      <c r="M123" s="2">
        <v>0.37</v>
      </c>
      <c r="N123" s="2">
        <v>0.05</v>
      </c>
      <c r="O123" s="2">
        <v>0.06</v>
      </c>
      <c r="P123" s="2">
        <v>0.01</v>
      </c>
      <c r="Q123" s="2">
        <v>0.11</v>
      </c>
      <c r="R123" s="2">
        <v>0.59</v>
      </c>
      <c r="S123" s="2">
        <v>-0.38</v>
      </c>
      <c r="T123" s="2">
        <v>0.56</v>
      </c>
      <c r="U123" s="2">
        <v>1.65</v>
      </c>
      <c r="V123" s="2">
        <v>6.0</v>
      </c>
    </row>
    <row r="124">
      <c r="A124" s="2" t="s">
        <v>733</v>
      </c>
      <c r="B124" s="2" t="s">
        <v>143</v>
      </c>
      <c r="C124" s="2">
        <v>16.71</v>
      </c>
      <c r="D124" s="2">
        <v>0.92</v>
      </c>
      <c r="E124" s="2" t="s">
        <v>113</v>
      </c>
      <c r="F124" s="2">
        <v>53589.9</v>
      </c>
      <c r="G124" s="2">
        <v>0.76</v>
      </c>
      <c r="H124" s="2">
        <v>0.58</v>
      </c>
      <c r="I124" s="2">
        <v>0.38</v>
      </c>
      <c r="J124" s="2">
        <v>3.23</v>
      </c>
      <c r="K124" s="2">
        <v>0.16</v>
      </c>
      <c r="L124" s="2">
        <v>5.28</v>
      </c>
      <c r="M124" s="2">
        <v>0.45</v>
      </c>
      <c r="N124" s="2">
        <v>0.04</v>
      </c>
      <c r="O124" s="2">
        <v>0.08</v>
      </c>
      <c r="P124" s="2">
        <v>0.43</v>
      </c>
      <c r="Q124" s="2">
        <v>0.17</v>
      </c>
      <c r="R124" s="2">
        <v>1.17</v>
      </c>
      <c r="S124" s="2">
        <v>-4.11</v>
      </c>
      <c r="T124" s="2">
        <v>3.05</v>
      </c>
      <c r="U124" s="2">
        <v>4.53</v>
      </c>
      <c r="V124" s="2">
        <v>6.0</v>
      </c>
    </row>
    <row r="125">
      <c r="A125" s="2" t="s">
        <v>737</v>
      </c>
      <c r="B125" s="2" t="s">
        <v>134</v>
      </c>
      <c r="C125" s="2">
        <v>0.25</v>
      </c>
      <c r="D125" s="2" t="s">
        <v>106</v>
      </c>
      <c r="E125" s="2" t="s">
        <v>129</v>
      </c>
      <c r="F125" s="2" t="s">
        <v>106</v>
      </c>
      <c r="G125" s="2">
        <v>0.68</v>
      </c>
      <c r="H125" s="2">
        <v>0.62</v>
      </c>
      <c r="I125" s="2">
        <v>0.18</v>
      </c>
      <c r="J125" s="2">
        <v>1.78</v>
      </c>
      <c r="K125" s="2">
        <v>0.32</v>
      </c>
      <c r="L125" s="2">
        <v>3.58</v>
      </c>
      <c r="M125" s="2">
        <v>0.07</v>
      </c>
      <c r="N125" s="2">
        <v>0.31</v>
      </c>
      <c r="O125" s="2">
        <v>1.94</v>
      </c>
      <c r="P125" s="2">
        <v>5.35</v>
      </c>
      <c r="Q125" s="2">
        <v>0.0</v>
      </c>
      <c r="R125" s="2">
        <v>7.67</v>
      </c>
      <c r="S125" s="2">
        <v>4.09</v>
      </c>
      <c r="T125" s="2">
        <v>2.07</v>
      </c>
      <c r="U125" s="2">
        <v>0.47</v>
      </c>
      <c r="V125" s="2" t="s">
        <v>164</v>
      </c>
    </row>
    <row r="126">
      <c r="A126" s="2" t="s">
        <v>741</v>
      </c>
      <c r="B126" s="2" t="s">
        <v>134</v>
      </c>
      <c r="C126" s="2">
        <v>4.46</v>
      </c>
      <c r="D126" s="2">
        <v>0.91</v>
      </c>
      <c r="E126" s="2" t="s">
        <v>113</v>
      </c>
      <c r="F126" s="2">
        <v>37488.3</v>
      </c>
      <c r="G126" s="2">
        <v>0.63</v>
      </c>
      <c r="H126" s="2">
        <v>0.23</v>
      </c>
      <c r="I126" s="2">
        <v>1.08</v>
      </c>
      <c r="J126" s="2">
        <v>2.84</v>
      </c>
      <c r="K126" s="2">
        <v>0.7</v>
      </c>
      <c r="L126" s="2">
        <v>5.6</v>
      </c>
      <c r="M126" s="2">
        <v>0.51</v>
      </c>
      <c r="N126" s="2">
        <v>2.7</v>
      </c>
      <c r="O126" s="2">
        <v>5.95</v>
      </c>
      <c r="P126" s="2">
        <v>0.86</v>
      </c>
      <c r="Q126" s="2">
        <v>0.13</v>
      </c>
      <c r="R126" s="2">
        <v>10.14</v>
      </c>
      <c r="S126" s="2">
        <v>4.54</v>
      </c>
      <c r="T126" s="2">
        <v>3.23</v>
      </c>
      <c r="U126" s="2">
        <v>0.55</v>
      </c>
      <c r="V126" s="2" t="s">
        <v>124</v>
      </c>
    </row>
    <row r="127">
      <c r="A127" s="2" t="s">
        <v>745</v>
      </c>
      <c r="B127" s="2" t="s">
        <v>103</v>
      </c>
      <c r="C127" s="2">
        <v>5.99</v>
      </c>
      <c r="D127" s="2">
        <v>0.63</v>
      </c>
      <c r="E127" s="2" t="s">
        <v>175</v>
      </c>
      <c r="F127" s="2">
        <v>1626.85</v>
      </c>
      <c r="G127" s="2">
        <v>0.34</v>
      </c>
      <c r="H127" s="2">
        <v>0.12</v>
      </c>
      <c r="I127" s="2">
        <v>0.42</v>
      </c>
      <c r="J127" s="2">
        <v>0.45</v>
      </c>
      <c r="K127" s="2">
        <v>0.03</v>
      </c>
      <c r="L127" s="2">
        <v>1.39</v>
      </c>
      <c r="M127" s="2">
        <v>0.4</v>
      </c>
      <c r="N127" s="2">
        <v>0.58</v>
      </c>
      <c r="O127" s="2">
        <v>0.74</v>
      </c>
      <c r="P127" s="2">
        <v>0.49</v>
      </c>
      <c r="Q127" s="2">
        <v>0.05</v>
      </c>
      <c r="R127" s="2">
        <v>2.25</v>
      </c>
      <c r="S127" s="2">
        <v>0.87</v>
      </c>
      <c r="T127" s="2">
        <v>0.8</v>
      </c>
      <c r="U127" s="2">
        <v>0.62</v>
      </c>
      <c r="V127" s="2">
        <v>5.0</v>
      </c>
    </row>
    <row r="128">
      <c r="A128" s="2" t="s">
        <v>749</v>
      </c>
      <c r="B128" s="2" t="s">
        <v>73</v>
      </c>
      <c r="C128" s="2">
        <v>17.16</v>
      </c>
      <c r="D128" s="2">
        <v>0.34</v>
      </c>
      <c r="E128" s="2" t="s">
        <v>55</v>
      </c>
      <c r="F128" s="2">
        <v>410.91</v>
      </c>
      <c r="G128" s="2">
        <v>0.67</v>
      </c>
      <c r="H128" s="2">
        <v>0.48</v>
      </c>
      <c r="I128" s="2">
        <v>0.26</v>
      </c>
      <c r="J128" s="2">
        <v>0.1</v>
      </c>
      <c r="K128" s="2">
        <v>0.02</v>
      </c>
      <c r="L128" s="2">
        <v>1.56</v>
      </c>
      <c r="M128" s="2">
        <v>0.65</v>
      </c>
      <c r="N128" s="2">
        <v>0.51</v>
      </c>
      <c r="O128" s="2">
        <v>0.05</v>
      </c>
      <c r="P128" s="2">
        <v>0.0</v>
      </c>
      <c r="Q128" s="2">
        <v>0.03</v>
      </c>
      <c r="R128" s="2">
        <v>1.24</v>
      </c>
      <c r="S128" s="2">
        <v>-0.32</v>
      </c>
      <c r="T128" s="2">
        <v>0.9</v>
      </c>
      <c r="U128" s="2">
        <v>1.26</v>
      </c>
      <c r="V128" s="2">
        <v>5.0</v>
      </c>
    </row>
    <row r="129">
      <c r="A129" s="2" t="s">
        <v>753</v>
      </c>
      <c r="B129" s="2" t="s">
        <v>73</v>
      </c>
      <c r="C129" s="2">
        <v>168.83</v>
      </c>
      <c r="D129" s="2">
        <v>0.5</v>
      </c>
      <c r="E129" s="2" t="s">
        <v>55</v>
      </c>
      <c r="F129" s="2">
        <v>2612.12</v>
      </c>
      <c r="G129" s="2">
        <v>0.53</v>
      </c>
      <c r="H129" s="2">
        <v>0.1</v>
      </c>
      <c r="I129" s="2">
        <v>0.19</v>
      </c>
      <c r="J129" s="2">
        <v>0.21</v>
      </c>
      <c r="K129" s="2">
        <v>0.08</v>
      </c>
      <c r="L129" s="2">
        <v>1.16</v>
      </c>
      <c r="M129" s="2">
        <v>0.5</v>
      </c>
      <c r="N129" s="2">
        <v>0.12</v>
      </c>
      <c r="O129" s="2">
        <v>0.02</v>
      </c>
      <c r="P129" s="2">
        <v>0.02</v>
      </c>
      <c r="Q129" s="2">
        <v>0.05</v>
      </c>
      <c r="R129" s="2">
        <v>0.7</v>
      </c>
      <c r="S129" s="2">
        <v>-0.47</v>
      </c>
      <c r="T129" s="2">
        <v>0.67</v>
      </c>
      <c r="U129" s="2">
        <v>1.67</v>
      </c>
      <c r="V129" s="2">
        <v>5.0</v>
      </c>
    </row>
    <row r="130">
      <c r="A130" s="2" t="s">
        <v>757</v>
      </c>
      <c r="B130" s="2" t="s">
        <v>58</v>
      </c>
      <c r="C130" s="2">
        <v>4.99</v>
      </c>
      <c r="D130" s="2">
        <v>0.94</v>
      </c>
      <c r="E130" s="2" t="s">
        <v>113</v>
      </c>
      <c r="F130" s="2">
        <v>100172.0</v>
      </c>
      <c r="G130" s="2" t="s">
        <v>106</v>
      </c>
      <c r="H130" s="2" t="s">
        <v>106</v>
      </c>
      <c r="I130" s="2" t="s">
        <v>106</v>
      </c>
      <c r="J130" s="2" t="s">
        <v>106</v>
      </c>
      <c r="K130" s="2" t="s">
        <v>106</v>
      </c>
      <c r="L130" s="2">
        <v>4.98</v>
      </c>
      <c r="M130" s="2" t="s">
        <v>106</v>
      </c>
      <c r="N130" s="2" t="s">
        <v>106</v>
      </c>
      <c r="O130" s="2" t="s">
        <v>106</v>
      </c>
      <c r="P130" s="2" t="s">
        <v>106</v>
      </c>
      <c r="Q130" s="2" t="s">
        <v>106</v>
      </c>
      <c r="R130" s="2">
        <v>8.18</v>
      </c>
      <c r="S130" s="2">
        <v>3.19</v>
      </c>
      <c r="T130" s="2">
        <v>2.88</v>
      </c>
      <c r="U130" s="2">
        <v>0.61</v>
      </c>
      <c r="V130" s="2">
        <v>4.0</v>
      </c>
    </row>
    <row r="131">
      <c r="A131" s="2" t="s">
        <v>762</v>
      </c>
      <c r="B131" s="2" t="s">
        <v>33</v>
      </c>
      <c r="C131" s="2">
        <v>3.31</v>
      </c>
      <c r="D131" s="2">
        <v>0.79</v>
      </c>
      <c r="E131" s="2" t="s">
        <v>76</v>
      </c>
      <c r="F131" s="2">
        <v>22622.8</v>
      </c>
      <c r="G131" s="2">
        <v>0.57</v>
      </c>
      <c r="H131" s="2">
        <v>0.4</v>
      </c>
      <c r="I131" s="2">
        <v>0.15</v>
      </c>
      <c r="J131" s="2">
        <v>5.8</v>
      </c>
      <c r="K131" s="2">
        <v>0.4</v>
      </c>
      <c r="L131" s="2">
        <v>7.52</v>
      </c>
      <c r="M131" s="2">
        <v>0.07</v>
      </c>
      <c r="N131" s="2">
        <v>0.04</v>
      </c>
      <c r="O131" s="2">
        <v>0.0</v>
      </c>
      <c r="P131" s="2">
        <v>1.61</v>
      </c>
      <c r="Q131" s="2">
        <v>0.19</v>
      </c>
      <c r="R131" s="2">
        <v>1.92</v>
      </c>
      <c r="S131" s="2">
        <v>-5.6</v>
      </c>
      <c r="T131" s="2">
        <v>4.34</v>
      </c>
      <c r="U131" s="2">
        <v>3.93</v>
      </c>
      <c r="V131" s="2" t="s">
        <v>124</v>
      </c>
    </row>
    <row r="132">
      <c r="A132" s="2" t="s">
        <v>767</v>
      </c>
      <c r="B132" s="2" t="s">
        <v>134</v>
      </c>
      <c r="C132" s="2">
        <v>179.16</v>
      </c>
      <c r="D132" s="2">
        <v>0.53</v>
      </c>
      <c r="E132" s="2" t="s">
        <v>55</v>
      </c>
      <c r="F132" s="2">
        <v>1218.6</v>
      </c>
      <c r="G132" s="2">
        <v>0.27</v>
      </c>
      <c r="H132" s="2">
        <v>0.01</v>
      </c>
      <c r="I132" s="2">
        <v>0.08</v>
      </c>
      <c r="J132" s="2">
        <v>0.38</v>
      </c>
      <c r="K132" s="2">
        <v>0.02</v>
      </c>
      <c r="L132" s="2">
        <v>0.79</v>
      </c>
      <c r="M132" s="2">
        <v>0.26</v>
      </c>
      <c r="N132" s="2">
        <v>0.0</v>
      </c>
      <c r="O132" s="2">
        <v>0.01</v>
      </c>
      <c r="P132" s="2">
        <v>0.04</v>
      </c>
      <c r="Q132" s="2">
        <v>0.03</v>
      </c>
      <c r="R132" s="2">
        <v>0.35</v>
      </c>
      <c r="S132" s="2">
        <v>-0.44</v>
      </c>
      <c r="T132" s="2">
        <v>0.46</v>
      </c>
      <c r="U132" s="2">
        <v>2.28</v>
      </c>
      <c r="V132" s="2">
        <v>6.0</v>
      </c>
    </row>
    <row r="133">
      <c r="A133" s="2" t="s">
        <v>770</v>
      </c>
      <c r="B133" s="2" t="s">
        <v>103</v>
      </c>
      <c r="C133" s="2">
        <v>3.8</v>
      </c>
      <c r="D133" s="2">
        <v>0.77</v>
      </c>
      <c r="E133" s="2" t="s">
        <v>76</v>
      </c>
      <c r="F133" s="2">
        <v>8410.77</v>
      </c>
      <c r="G133" s="2">
        <v>0.36</v>
      </c>
      <c r="H133" s="2">
        <v>0.4</v>
      </c>
      <c r="I133" s="2">
        <v>0.19</v>
      </c>
      <c r="J133" s="2">
        <v>1.44</v>
      </c>
      <c r="K133" s="2">
        <v>0.37</v>
      </c>
      <c r="L133" s="2">
        <v>2.79</v>
      </c>
      <c r="M133" s="2">
        <v>0.14</v>
      </c>
      <c r="N133" s="2">
        <v>0.43</v>
      </c>
      <c r="O133" s="2">
        <v>1.74</v>
      </c>
      <c r="P133" s="2">
        <v>0.6</v>
      </c>
      <c r="Q133" s="2">
        <v>0.02</v>
      </c>
      <c r="R133" s="2">
        <v>2.94</v>
      </c>
      <c r="S133" s="2">
        <v>0.15</v>
      </c>
      <c r="T133" s="2">
        <v>1.61</v>
      </c>
      <c r="U133" s="2">
        <v>0.95</v>
      </c>
      <c r="V133" s="2" t="s">
        <v>124</v>
      </c>
    </row>
    <row r="134">
      <c r="A134" s="2" t="s">
        <v>773</v>
      </c>
      <c r="B134" s="2" t="s">
        <v>134</v>
      </c>
      <c r="C134" s="2">
        <v>7.17</v>
      </c>
      <c r="D134" s="2">
        <v>0.5</v>
      </c>
      <c r="E134" s="2" t="s">
        <v>55</v>
      </c>
      <c r="F134" s="2">
        <v>1871.21</v>
      </c>
      <c r="G134" s="2">
        <v>0.3</v>
      </c>
      <c r="H134" s="2">
        <v>0.05</v>
      </c>
      <c r="I134" s="2">
        <v>0.36</v>
      </c>
      <c r="J134" s="2">
        <v>0.35</v>
      </c>
      <c r="K134" s="2">
        <v>0.73</v>
      </c>
      <c r="L134" s="2">
        <v>1.91</v>
      </c>
      <c r="M134" s="2">
        <v>0.36</v>
      </c>
      <c r="N134" s="2">
        <v>0.04</v>
      </c>
      <c r="O134" s="2">
        <v>2.66</v>
      </c>
      <c r="P134" s="2">
        <v>0.73</v>
      </c>
      <c r="Q134" s="2">
        <v>0.13</v>
      </c>
      <c r="R134" s="2">
        <v>3.92</v>
      </c>
      <c r="S134" s="2">
        <v>2.01</v>
      </c>
      <c r="T134" s="2">
        <v>1.1</v>
      </c>
      <c r="U134" s="2">
        <v>0.49</v>
      </c>
      <c r="V134" s="2" t="s">
        <v>124</v>
      </c>
    </row>
    <row r="135">
      <c r="A135" s="2" t="s">
        <v>775</v>
      </c>
      <c r="B135" s="2" t="s">
        <v>103</v>
      </c>
      <c r="C135" s="2">
        <v>6.69</v>
      </c>
      <c r="D135" s="2">
        <v>0.67</v>
      </c>
      <c r="E135" s="2" t="s">
        <v>175</v>
      </c>
      <c r="F135" s="2">
        <v>3557.31</v>
      </c>
      <c r="G135" s="2">
        <v>1.11</v>
      </c>
      <c r="H135" s="2">
        <v>1.1</v>
      </c>
      <c r="I135" s="2">
        <v>0.83</v>
      </c>
      <c r="J135" s="2">
        <v>0.97</v>
      </c>
      <c r="K135" s="2">
        <v>0.01</v>
      </c>
      <c r="L135" s="2">
        <v>4.16</v>
      </c>
      <c r="M135" s="2">
        <v>2.51</v>
      </c>
      <c r="N135" s="2">
        <v>2.28</v>
      </c>
      <c r="O135" s="2">
        <v>5.54</v>
      </c>
      <c r="P135" s="2">
        <v>0.05</v>
      </c>
      <c r="Q135" s="2">
        <v>0.14</v>
      </c>
      <c r="R135" s="2">
        <v>10.52</v>
      </c>
      <c r="S135" s="2">
        <v>6.36</v>
      </c>
      <c r="T135" s="2">
        <v>2.4</v>
      </c>
      <c r="U135" s="2">
        <v>0.4</v>
      </c>
      <c r="V135" s="2" t="s">
        <v>124</v>
      </c>
    </row>
    <row r="136">
      <c r="A136" s="2" t="s">
        <v>782</v>
      </c>
      <c r="B136" s="2" t="s">
        <v>103</v>
      </c>
      <c r="C136" s="2">
        <v>29.99</v>
      </c>
      <c r="D136" s="2">
        <v>0.73</v>
      </c>
      <c r="E136" s="2" t="s">
        <v>76</v>
      </c>
      <c r="F136" s="2">
        <v>5684.73</v>
      </c>
      <c r="G136" s="2">
        <v>0.5</v>
      </c>
      <c r="H136" s="2">
        <v>0.51</v>
      </c>
      <c r="I136" s="2">
        <v>0.19</v>
      </c>
      <c r="J136" s="2">
        <v>0.67</v>
      </c>
      <c r="K136" s="2">
        <v>0.33</v>
      </c>
      <c r="L136" s="2">
        <v>2.28</v>
      </c>
      <c r="M136" s="2">
        <v>0.36</v>
      </c>
      <c r="N136" s="2">
        <v>0.51</v>
      </c>
      <c r="O136" s="2">
        <v>2.82</v>
      </c>
      <c r="P136" s="2">
        <v>0.2</v>
      </c>
      <c r="Q136" s="2">
        <v>0.07</v>
      </c>
      <c r="R136" s="2">
        <v>3.97</v>
      </c>
      <c r="S136" s="2">
        <v>1.69</v>
      </c>
      <c r="T136" s="2">
        <v>1.32</v>
      </c>
      <c r="U136" s="2">
        <v>0.57</v>
      </c>
      <c r="V136" s="2">
        <v>6.0</v>
      </c>
    </row>
    <row r="137">
      <c r="A137" s="2" t="s">
        <v>786</v>
      </c>
      <c r="B137" s="2" t="s">
        <v>134</v>
      </c>
      <c r="C137" s="2">
        <v>96.71</v>
      </c>
      <c r="D137" s="2">
        <v>0.66</v>
      </c>
      <c r="E137" s="2" t="s">
        <v>175</v>
      </c>
      <c r="F137" s="2">
        <v>2379.44</v>
      </c>
      <c r="G137" s="2">
        <v>0.36</v>
      </c>
      <c r="H137" s="2">
        <v>0.03</v>
      </c>
      <c r="I137" s="2">
        <v>0.09</v>
      </c>
      <c r="J137" s="2">
        <v>0.34</v>
      </c>
      <c r="K137" s="2">
        <v>0.23</v>
      </c>
      <c r="L137" s="2">
        <v>1.1</v>
      </c>
      <c r="M137" s="2">
        <v>0.32</v>
      </c>
      <c r="N137" s="2">
        <v>0.02</v>
      </c>
      <c r="O137" s="2">
        <v>0.09</v>
      </c>
      <c r="P137" s="2">
        <v>0.07</v>
      </c>
      <c r="Q137" s="2">
        <v>0.05</v>
      </c>
      <c r="R137" s="2">
        <v>0.54</v>
      </c>
      <c r="S137" s="2">
        <v>-0.56</v>
      </c>
      <c r="T137" s="2">
        <v>0.64</v>
      </c>
      <c r="U137" s="2">
        <v>2.03</v>
      </c>
      <c r="V137" s="2">
        <v>5.0</v>
      </c>
    </row>
    <row r="138">
      <c r="A138" s="2" t="s">
        <v>790</v>
      </c>
      <c r="B138" s="2" t="s">
        <v>143</v>
      </c>
      <c r="C138" s="2">
        <v>38.21</v>
      </c>
      <c r="D138" s="2">
        <v>0.84</v>
      </c>
      <c r="E138" s="2" t="s">
        <v>113</v>
      </c>
      <c r="F138" s="2">
        <v>13769.5</v>
      </c>
      <c r="G138" s="2">
        <v>0.84</v>
      </c>
      <c r="H138" s="2">
        <v>0.04</v>
      </c>
      <c r="I138" s="2">
        <v>0.78</v>
      </c>
      <c r="J138" s="2">
        <v>2.64</v>
      </c>
      <c r="K138" s="2">
        <v>0.05</v>
      </c>
      <c r="L138" s="2">
        <v>4.44</v>
      </c>
      <c r="M138" s="2">
        <v>1.05</v>
      </c>
      <c r="N138" s="2">
        <v>0.07</v>
      </c>
      <c r="O138" s="2">
        <v>0.77</v>
      </c>
      <c r="P138" s="2">
        <v>0.11</v>
      </c>
      <c r="Q138" s="2">
        <v>0.09</v>
      </c>
      <c r="R138" s="2">
        <v>2.08</v>
      </c>
      <c r="S138" s="2">
        <v>-2.36</v>
      </c>
      <c r="T138" s="2">
        <v>2.57</v>
      </c>
      <c r="U138" s="2">
        <v>2.14</v>
      </c>
      <c r="V138" s="2">
        <v>6.0</v>
      </c>
    </row>
    <row r="139">
      <c r="A139" s="2" t="s">
        <v>795</v>
      </c>
      <c r="B139" s="2" t="s">
        <v>143</v>
      </c>
      <c r="C139" s="2">
        <v>10.6</v>
      </c>
      <c r="D139" s="2">
        <v>0.83</v>
      </c>
      <c r="E139" s="2" t="s">
        <v>113</v>
      </c>
      <c r="F139" s="2">
        <v>23217.3</v>
      </c>
      <c r="G139" s="2">
        <v>1.03</v>
      </c>
      <c r="H139" s="2">
        <v>0.25</v>
      </c>
      <c r="I139" s="2">
        <v>0.09</v>
      </c>
      <c r="J139" s="2">
        <v>2.15</v>
      </c>
      <c r="K139" s="2">
        <v>0.31</v>
      </c>
      <c r="L139" s="2">
        <v>3.88</v>
      </c>
      <c r="M139" s="2">
        <v>0.47</v>
      </c>
      <c r="N139" s="2">
        <v>0.06</v>
      </c>
      <c r="O139" s="2">
        <v>0.85</v>
      </c>
      <c r="P139" s="2">
        <v>0.07</v>
      </c>
      <c r="Q139" s="2">
        <v>0.05</v>
      </c>
      <c r="R139" s="2">
        <v>1.51</v>
      </c>
      <c r="S139" s="2">
        <v>-2.37</v>
      </c>
      <c r="T139" s="2">
        <v>2.24</v>
      </c>
      <c r="U139" s="2">
        <v>2.57</v>
      </c>
      <c r="V139" s="2">
        <v>5.0</v>
      </c>
    </row>
    <row r="140">
      <c r="A140" s="2" t="s">
        <v>799</v>
      </c>
      <c r="B140" s="2" t="s">
        <v>33</v>
      </c>
      <c r="C140" s="2">
        <v>2.05</v>
      </c>
      <c r="D140" s="2">
        <v>0.85</v>
      </c>
      <c r="E140" s="2" t="s">
        <v>113</v>
      </c>
      <c r="F140" s="2">
        <v>99431.5</v>
      </c>
      <c r="G140" s="2">
        <v>0.57</v>
      </c>
      <c r="H140" s="2">
        <v>0.27</v>
      </c>
      <c r="I140" s="2">
        <v>0.15</v>
      </c>
      <c r="J140" s="2">
        <v>9.57</v>
      </c>
      <c r="K140" s="2">
        <v>0.19</v>
      </c>
      <c r="L140" s="2">
        <v>10.8</v>
      </c>
      <c r="M140" s="2">
        <v>0.01</v>
      </c>
      <c r="N140" s="2">
        <v>0.0</v>
      </c>
      <c r="O140" s="2">
        <v>0.0</v>
      </c>
      <c r="P140" s="2">
        <v>1.17</v>
      </c>
      <c r="Q140" s="2">
        <v>0.06</v>
      </c>
      <c r="R140" s="2">
        <v>1.24</v>
      </c>
      <c r="S140" s="2">
        <v>-9.56</v>
      </c>
      <c r="T140" s="2">
        <v>6.24</v>
      </c>
      <c r="U140" s="2">
        <v>8.72</v>
      </c>
      <c r="V140" s="2" t="s">
        <v>164</v>
      </c>
    </row>
    <row r="141">
      <c r="A141" s="2" t="s">
        <v>804</v>
      </c>
      <c r="B141" s="2" t="s">
        <v>73</v>
      </c>
      <c r="C141" s="2">
        <v>0.86</v>
      </c>
      <c r="D141" s="2" t="s">
        <v>106</v>
      </c>
      <c r="E141" s="2" t="s">
        <v>129</v>
      </c>
      <c r="F141" s="2" t="s">
        <v>106</v>
      </c>
      <c r="G141" s="2">
        <v>0.14</v>
      </c>
      <c r="H141" s="2">
        <v>0.01</v>
      </c>
      <c r="I141" s="2">
        <v>0.15</v>
      </c>
      <c r="J141" s="2">
        <v>3.27</v>
      </c>
      <c r="K141" s="2">
        <v>0.09</v>
      </c>
      <c r="L141" s="2">
        <v>3.65</v>
      </c>
      <c r="M141" s="2">
        <v>0.14</v>
      </c>
      <c r="N141" s="2">
        <v>0.01</v>
      </c>
      <c r="O141" s="2">
        <v>0.04</v>
      </c>
      <c r="P141" s="2">
        <v>0.0</v>
      </c>
      <c r="Q141" s="2">
        <v>0.0</v>
      </c>
      <c r="R141" s="2">
        <v>0.18</v>
      </c>
      <c r="S141" s="2">
        <v>-3.47</v>
      </c>
      <c r="T141" s="2">
        <v>2.11</v>
      </c>
      <c r="U141" s="2">
        <v>20.18</v>
      </c>
      <c r="V141" s="2">
        <v>5.0</v>
      </c>
    </row>
    <row r="142">
      <c r="A142" s="2" t="s">
        <v>808</v>
      </c>
      <c r="B142" s="2" t="s">
        <v>143</v>
      </c>
      <c r="C142" s="2">
        <v>21.76</v>
      </c>
      <c r="D142" s="2">
        <v>0.79</v>
      </c>
      <c r="E142" s="2" t="s">
        <v>76</v>
      </c>
      <c r="F142" s="2">
        <v>9213.94</v>
      </c>
      <c r="G142" s="2">
        <v>0.72</v>
      </c>
      <c r="H142" s="2">
        <v>0.05</v>
      </c>
      <c r="I142" s="2">
        <v>0.33</v>
      </c>
      <c r="J142" s="2">
        <v>1.46</v>
      </c>
      <c r="K142" s="2">
        <v>0.03</v>
      </c>
      <c r="L142" s="2">
        <v>2.71</v>
      </c>
      <c r="M142" s="2">
        <v>0.87</v>
      </c>
      <c r="N142" s="2">
        <v>0.11</v>
      </c>
      <c r="O142" s="2">
        <v>1.14</v>
      </c>
      <c r="P142" s="2">
        <v>0.08</v>
      </c>
      <c r="Q142" s="2">
        <v>0.12</v>
      </c>
      <c r="R142" s="2">
        <v>2.32</v>
      </c>
      <c r="S142" s="2">
        <v>-0.39</v>
      </c>
      <c r="T142" s="2">
        <v>1.56</v>
      </c>
      <c r="U142" s="2">
        <v>1.17</v>
      </c>
      <c r="V142" s="2">
        <v>5.0</v>
      </c>
    </row>
    <row r="143">
      <c r="A143" s="2" t="s">
        <v>812</v>
      </c>
      <c r="B143" s="2" t="s">
        <v>58</v>
      </c>
      <c r="C143" s="2">
        <v>143.17</v>
      </c>
      <c r="D143" s="2">
        <v>0.79</v>
      </c>
      <c r="E143" s="2" t="s">
        <v>76</v>
      </c>
      <c r="F143" s="2">
        <v>13320.2</v>
      </c>
      <c r="G143" s="2">
        <v>0.77</v>
      </c>
      <c r="H143" s="2">
        <v>0.15</v>
      </c>
      <c r="I143" s="2">
        <v>0.67</v>
      </c>
      <c r="J143" s="2">
        <v>3.87</v>
      </c>
      <c r="K143" s="2">
        <v>0.19</v>
      </c>
      <c r="L143" s="2">
        <v>5.69</v>
      </c>
      <c r="M143" s="2">
        <v>0.85</v>
      </c>
      <c r="N143" s="2">
        <v>0.34</v>
      </c>
      <c r="O143" s="2">
        <v>4.38</v>
      </c>
      <c r="P143" s="2">
        <v>1.19</v>
      </c>
      <c r="Q143" s="2">
        <v>0.03</v>
      </c>
      <c r="R143" s="2">
        <v>6.79</v>
      </c>
      <c r="S143" s="2">
        <v>1.1</v>
      </c>
      <c r="T143" s="2">
        <v>3.29</v>
      </c>
      <c r="U143" s="2">
        <v>0.84</v>
      </c>
      <c r="V143" s="2">
        <v>6.0</v>
      </c>
    </row>
    <row r="144">
      <c r="A144" s="2" t="s">
        <v>817</v>
      </c>
      <c r="B144" s="2" t="s">
        <v>73</v>
      </c>
      <c r="C144" s="2">
        <v>11.46</v>
      </c>
      <c r="D144" s="2">
        <v>0.48</v>
      </c>
      <c r="E144" s="2" t="s">
        <v>55</v>
      </c>
      <c r="F144" s="2">
        <v>628.08</v>
      </c>
      <c r="G144" s="2">
        <v>0.43</v>
      </c>
      <c r="H144" s="2">
        <v>0.05</v>
      </c>
      <c r="I144" s="2">
        <v>0.25</v>
      </c>
      <c r="J144" s="2">
        <v>0.07</v>
      </c>
      <c r="K144" s="2">
        <v>0.01</v>
      </c>
      <c r="L144" s="2">
        <v>0.87</v>
      </c>
      <c r="M144" s="2">
        <v>0.42</v>
      </c>
      <c r="N144" s="2">
        <v>0.05</v>
      </c>
      <c r="O144" s="2">
        <v>0.01</v>
      </c>
      <c r="P144" s="2">
        <v>0.01</v>
      </c>
      <c r="Q144" s="2">
        <v>0.05</v>
      </c>
      <c r="R144" s="2">
        <v>0.54</v>
      </c>
      <c r="S144" s="2">
        <v>-0.32</v>
      </c>
      <c r="T144" s="2">
        <v>0.5</v>
      </c>
      <c r="U144" s="2">
        <v>1.6</v>
      </c>
      <c r="V144" s="2">
        <v>5.0</v>
      </c>
    </row>
    <row r="145">
      <c r="A145" s="2" t="s">
        <v>820</v>
      </c>
      <c r="B145" s="2" t="s">
        <v>103</v>
      </c>
      <c r="C145" s="2">
        <v>0.05</v>
      </c>
      <c r="D145" s="2">
        <v>0.74</v>
      </c>
      <c r="E145" s="2" t="s">
        <v>76</v>
      </c>
      <c r="F145" s="2">
        <v>12952.5</v>
      </c>
      <c r="G145" s="2">
        <v>0.51</v>
      </c>
      <c r="H145" s="2">
        <v>0.18</v>
      </c>
      <c r="I145" s="2">
        <v>0.09</v>
      </c>
      <c r="J145" s="2">
        <v>3.34</v>
      </c>
      <c r="K145" s="2">
        <v>0.81</v>
      </c>
      <c r="L145" s="2">
        <v>4.94</v>
      </c>
      <c r="M145" s="2">
        <v>0.06</v>
      </c>
      <c r="N145" s="2">
        <v>0.01</v>
      </c>
      <c r="O145" s="2">
        <v>0.17</v>
      </c>
      <c r="P145" s="2">
        <v>0.38</v>
      </c>
      <c r="Q145" s="2">
        <v>0.0</v>
      </c>
      <c r="R145" s="2">
        <v>0.62</v>
      </c>
      <c r="S145" s="2">
        <v>-4.31</v>
      </c>
      <c r="T145" s="2">
        <v>2.85</v>
      </c>
      <c r="U145" s="2">
        <v>7.92</v>
      </c>
      <c r="V145" s="2" t="s">
        <v>164</v>
      </c>
    </row>
    <row r="146">
      <c r="A146" s="2" t="s">
        <v>827</v>
      </c>
      <c r="B146" s="2" t="s">
        <v>103</v>
      </c>
      <c r="C146" s="2">
        <v>0.18</v>
      </c>
      <c r="D146" s="2">
        <v>0.73</v>
      </c>
      <c r="E146" s="2" t="s">
        <v>76</v>
      </c>
      <c r="F146" s="2">
        <v>7737.2</v>
      </c>
      <c r="G146" s="2">
        <v>0.38</v>
      </c>
      <c r="H146" s="2">
        <v>0.1</v>
      </c>
      <c r="I146" s="2">
        <v>0.17</v>
      </c>
      <c r="J146" s="2">
        <v>1.56</v>
      </c>
      <c r="K146" s="2">
        <v>0.23</v>
      </c>
      <c r="L146" s="2">
        <v>2.45</v>
      </c>
      <c r="M146" s="2">
        <v>0.1</v>
      </c>
      <c r="N146" s="2">
        <v>0.0</v>
      </c>
      <c r="O146" s="2">
        <v>0.1</v>
      </c>
      <c r="P146" s="2">
        <v>0.14</v>
      </c>
      <c r="Q146" s="2">
        <v>0.0</v>
      </c>
      <c r="R146" s="2">
        <v>0.34</v>
      </c>
      <c r="S146" s="2">
        <v>-2.1</v>
      </c>
      <c r="T146" s="2">
        <v>1.41</v>
      </c>
      <c r="U146" s="2">
        <v>7.12</v>
      </c>
      <c r="V146" s="2" t="s">
        <v>124</v>
      </c>
    </row>
    <row r="147">
      <c r="A147" s="2" t="s">
        <v>831</v>
      </c>
      <c r="B147" s="2" t="s">
        <v>103</v>
      </c>
      <c r="C147" s="2">
        <v>0.11</v>
      </c>
      <c r="D147" s="2">
        <v>0.72</v>
      </c>
      <c r="E147" s="2" t="s">
        <v>76</v>
      </c>
      <c r="F147" s="2">
        <v>6171.48</v>
      </c>
      <c r="G147" s="2" t="s">
        <v>106</v>
      </c>
      <c r="H147" s="2" t="s">
        <v>106</v>
      </c>
      <c r="I147" s="2" t="s">
        <v>106</v>
      </c>
      <c r="J147" s="2" t="s">
        <v>106</v>
      </c>
      <c r="K147" s="2" t="s">
        <v>106</v>
      </c>
      <c r="L147" s="2">
        <v>3.11</v>
      </c>
      <c r="M147" s="2" t="s">
        <v>106</v>
      </c>
      <c r="N147" s="2" t="s">
        <v>106</v>
      </c>
      <c r="O147" s="2" t="s">
        <v>106</v>
      </c>
      <c r="P147" s="2" t="s">
        <v>106</v>
      </c>
      <c r="Q147" s="2" t="s">
        <v>106</v>
      </c>
      <c r="R147" s="2">
        <v>1.26</v>
      </c>
      <c r="S147" s="2">
        <v>-1.85</v>
      </c>
      <c r="T147" s="2">
        <v>1.79</v>
      </c>
      <c r="U147" s="2">
        <v>2.47</v>
      </c>
      <c r="V147" s="2">
        <v>2.0</v>
      </c>
    </row>
    <row r="148">
      <c r="A148" s="2" t="s">
        <v>835</v>
      </c>
      <c r="B148" s="2" t="s">
        <v>134</v>
      </c>
      <c r="C148" s="2">
        <v>0.19</v>
      </c>
      <c r="D148" s="2">
        <v>0.7</v>
      </c>
      <c r="E148" s="2" t="s">
        <v>76</v>
      </c>
      <c r="F148" s="2">
        <v>4067.15</v>
      </c>
      <c r="G148" s="2">
        <v>0.97</v>
      </c>
      <c r="H148" s="2">
        <v>0.16</v>
      </c>
      <c r="I148" s="2">
        <v>0.27</v>
      </c>
      <c r="J148" s="2">
        <v>0.96</v>
      </c>
      <c r="K148" s="2">
        <v>0.42</v>
      </c>
      <c r="L148" s="2">
        <v>2.77</v>
      </c>
      <c r="M148" s="2">
        <v>0.69</v>
      </c>
      <c r="N148" s="2">
        <v>0.01</v>
      </c>
      <c r="O148" s="2">
        <v>1.17</v>
      </c>
      <c r="P148" s="2">
        <v>0.06</v>
      </c>
      <c r="Q148" s="2">
        <v>0.0</v>
      </c>
      <c r="R148" s="2">
        <v>1.93</v>
      </c>
      <c r="S148" s="2">
        <v>-0.85</v>
      </c>
      <c r="T148" s="2">
        <v>1.6</v>
      </c>
      <c r="U148" s="2">
        <v>1.44</v>
      </c>
      <c r="V148" s="2" t="s">
        <v>124</v>
      </c>
    </row>
    <row r="149">
      <c r="A149" s="2" t="s">
        <v>838</v>
      </c>
      <c r="B149" s="2" t="s">
        <v>73</v>
      </c>
      <c r="C149" s="2">
        <v>0.19</v>
      </c>
      <c r="D149" s="2">
        <v>0.55</v>
      </c>
      <c r="E149" s="2" t="s">
        <v>175</v>
      </c>
      <c r="F149" s="2">
        <v>1384.53</v>
      </c>
      <c r="G149" s="2">
        <v>0.36</v>
      </c>
      <c r="H149" s="2">
        <v>0.02</v>
      </c>
      <c r="I149" s="2">
        <v>0.27</v>
      </c>
      <c r="J149" s="2">
        <v>0.37</v>
      </c>
      <c r="K149" s="2">
        <v>0.47</v>
      </c>
      <c r="L149" s="2">
        <v>1.49</v>
      </c>
      <c r="M149" s="2">
        <v>0.25</v>
      </c>
      <c r="N149" s="2">
        <v>0.0</v>
      </c>
      <c r="O149" s="2">
        <v>0.22</v>
      </c>
      <c r="P149" s="2">
        <v>0.4</v>
      </c>
      <c r="Q149" s="2">
        <v>0.0</v>
      </c>
      <c r="R149" s="2">
        <v>0.87</v>
      </c>
      <c r="S149" s="2">
        <v>-0.61</v>
      </c>
      <c r="T149" s="2">
        <v>0.86</v>
      </c>
      <c r="U149" s="2">
        <v>1.7</v>
      </c>
      <c r="V149" s="2" t="s">
        <v>124</v>
      </c>
    </row>
    <row r="150">
      <c r="A150" s="2" t="s">
        <v>840</v>
      </c>
      <c r="B150" s="2" t="s">
        <v>33</v>
      </c>
      <c r="C150" s="2">
        <v>28.29</v>
      </c>
      <c r="D150" s="2">
        <v>0.83</v>
      </c>
      <c r="E150" s="2" t="s">
        <v>113</v>
      </c>
      <c r="F150" s="2">
        <v>23593.8</v>
      </c>
      <c r="G150" s="2">
        <v>0.74</v>
      </c>
      <c r="H150" s="2">
        <v>0.27</v>
      </c>
      <c r="I150" s="2">
        <v>0.27</v>
      </c>
      <c r="J150" s="2">
        <v>4.21</v>
      </c>
      <c r="K150" s="2">
        <v>0.08</v>
      </c>
      <c r="L150" s="2">
        <v>5.61</v>
      </c>
      <c r="M150" s="2">
        <v>0.09</v>
      </c>
      <c r="N150" s="2">
        <v>0.12</v>
      </c>
      <c r="O150" s="2">
        <v>0.07</v>
      </c>
      <c r="P150" s="2">
        <v>0.18</v>
      </c>
      <c r="Q150" s="2">
        <v>0.04</v>
      </c>
      <c r="R150" s="2">
        <v>0.5</v>
      </c>
      <c r="S150" s="2">
        <v>-5.12</v>
      </c>
      <c r="T150" s="2">
        <v>3.24</v>
      </c>
      <c r="U150" s="2">
        <v>11.28</v>
      </c>
      <c r="V150" s="2" t="s">
        <v>164</v>
      </c>
    </row>
    <row r="151">
      <c r="A151" s="2" t="s">
        <v>845</v>
      </c>
      <c r="B151" s="2" t="s">
        <v>73</v>
      </c>
      <c r="C151" s="2">
        <v>13.73</v>
      </c>
      <c r="D151" s="2">
        <v>0.46</v>
      </c>
      <c r="E151" s="2" t="s">
        <v>55</v>
      </c>
      <c r="F151" s="2">
        <v>1079.27</v>
      </c>
      <c r="G151" s="2">
        <v>0.34</v>
      </c>
      <c r="H151" s="2">
        <v>0.21</v>
      </c>
      <c r="I151" s="2">
        <v>0.21</v>
      </c>
      <c r="J151" s="2">
        <v>0.3</v>
      </c>
      <c r="K151" s="2">
        <v>0.12</v>
      </c>
      <c r="L151" s="2">
        <v>1.21</v>
      </c>
      <c r="M151" s="2">
        <v>0.21</v>
      </c>
      <c r="N151" s="2">
        <v>0.17</v>
      </c>
      <c r="O151" s="2">
        <v>0.46</v>
      </c>
      <c r="P151" s="2">
        <v>0.17</v>
      </c>
      <c r="Q151" s="2">
        <v>0.02</v>
      </c>
      <c r="R151" s="2">
        <v>1.05</v>
      </c>
      <c r="S151" s="2">
        <v>-0.16</v>
      </c>
      <c r="T151" s="2">
        <v>0.7</v>
      </c>
      <c r="U151" s="2">
        <v>1.16</v>
      </c>
      <c r="V151" s="2">
        <v>5.0</v>
      </c>
    </row>
    <row r="152">
      <c r="A152" s="2" t="s">
        <v>849</v>
      </c>
      <c r="B152" s="2" t="s">
        <v>58</v>
      </c>
      <c r="C152" s="2">
        <v>9.55</v>
      </c>
      <c r="D152" s="2">
        <v>0.76</v>
      </c>
      <c r="E152" s="2" t="s">
        <v>76</v>
      </c>
      <c r="F152" s="2">
        <v>6426.18</v>
      </c>
      <c r="G152" s="2">
        <v>0.49</v>
      </c>
      <c r="H152" s="2">
        <v>0.02</v>
      </c>
      <c r="I152" s="2">
        <v>0.46</v>
      </c>
      <c r="J152" s="2">
        <v>1.66</v>
      </c>
      <c r="K152" s="2">
        <v>0.02</v>
      </c>
      <c r="L152" s="2">
        <v>2.7</v>
      </c>
      <c r="M152" s="2">
        <v>0.73</v>
      </c>
      <c r="N152" s="2">
        <v>0.02</v>
      </c>
      <c r="O152" s="2">
        <v>0.46</v>
      </c>
      <c r="P152" s="2">
        <v>0.0</v>
      </c>
      <c r="Q152" s="2">
        <v>0.04</v>
      </c>
      <c r="R152" s="2">
        <v>1.25</v>
      </c>
      <c r="S152" s="2">
        <v>-1.44</v>
      </c>
      <c r="T152" s="2">
        <v>1.56</v>
      </c>
      <c r="U152" s="2">
        <v>2.15</v>
      </c>
      <c r="V152" s="2">
        <v>5.0</v>
      </c>
    </row>
    <row r="153">
      <c r="A153" s="2" t="s">
        <v>852</v>
      </c>
      <c r="B153" s="2" t="s">
        <v>73</v>
      </c>
      <c r="C153" s="2">
        <v>5.98</v>
      </c>
      <c r="D153" s="2">
        <v>0.4</v>
      </c>
      <c r="E153" s="2" t="s">
        <v>55</v>
      </c>
      <c r="F153" s="2">
        <v>499.89</v>
      </c>
      <c r="G153" s="2">
        <v>0.47</v>
      </c>
      <c r="H153" s="2">
        <v>0.11</v>
      </c>
      <c r="I153" s="2">
        <v>0.38</v>
      </c>
      <c r="J153" s="2">
        <v>0.07</v>
      </c>
      <c r="K153" s="2">
        <v>0.15</v>
      </c>
      <c r="L153" s="2">
        <v>1.24</v>
      </c>
      <c r="M153" s="2">
        <v>0.42</v>
      </c>
      <c r="N153" s="2">
        <v>0.35</v>
      </c>
      <c r="O153" s="2">
        <v>0.19</v>
      </c>
      <c r="P153" s="2">
        <v>0.22</v>
      </c>
      <c r="Q153" s="2">
        <v>0.05</v>
      </c>
      <c r="R153" s="2">
        <v>1.24</v>
      </c>
      <c r="S153" s="2">
        <v>0.0</v>
      </c>
      <c r="T153" s="2">
        <v>0.71</v>
      </c>
      <c r="U153" s="2">
        <v>1.0</v>
      </c>
      <c r="V153" s="2">
        <v>6.0</v>
      </c>
    </row>
    <row r="154">
      <c r="A154" s="2" t="s">
        <v>855</v>
      </c>
      <c r="B154" s="2" t="s">
        <v>134</v>
      </c>
      <c r="C154" s="2">
        <v>5.3</v>
      </c>
      <c r="D154" s="2">
        <v>0.91</v>
      </c>
      <c r="E154" s="2" t="s">
        <v>113</v>
      </c>
      <c r="F154" s="2">
        <v>53122.4</v>
      </c>
      <c r="G154" s="2">
        <v>0.67</v>
      </c>
      <c r="H154" s="2">
        <v>0.24</v>
      </c>
      <c r="I154" s="2">
        <v>0.91</v>
      </c>
      <c r="J154" s="2">
        <v>5.91</v>
      </c>
      <c r="K154" s="2">
        <v>0.22</v>
      </c>
      <c r="L154" s="2">
        <v>7.97</v>
      </c>
      <c r="M154" s="2">
        <v>0.0</v>
      </c>
      <c r="N154" s="2">
        <v>0.0</v>
      </c>
      <c r="O154" s="2">
        <v>0.0</v>
      </c>
      <c r="P154" s="2">
        <v>0.01</v>
      </c>
      <c r="Q154" s="2">
        <v>0.03</v>
      </c>
      <c r="R154" s="2">
        <v>0.05</v>
      </c>
      <c r="S154" s="2">
        <v>-7.92</v>
      </c>
      <c r="T154" s="2">
        <v>4.61</v>
      </c>
      <c r="U154" s="2">
        <v>159.47</v>
      </c>
      <c r="V154" s="2">
        <v>5.0</v>
      </c>
    </row>
    <row r="155">
      <c r="A155" s="2" t="s">
        <v>861</v>
      </c>
      <c r="B155" s="2" t="s">
        <v>143</v>
      </c>
      <c r="C155" s="2">
        <v>5.45</v>
      </c>
      <c r="D155" s="2">
        <v>0.84</v>
      </c>
      <c r="E155" s="2" t="s">
        <v>113</v>
      </c>
      <c r="F155" s="2">
        <v>18103.1</v>
      </c>
      <c r="G155" s="2">
        <v>0.31</v>
      </c>
      <c r="H155" s="2">
        <v>0.08</v>
      </c>
      <c r="I155" s="2">
        <v>0.72</v>
      </c>
      <c r="J155" s="2">
        <v>2.82</v>
      </c>
      <c r="K155" s="2">
        <v>0.03</v>
      </c>
      <c r="L155" s="2">
        <v>4.06</v>
      </c>
      <c r="M155" s="2">
        <v>0.71</v>
      </c>
      <c r="N155" s="2">
        <v>0.06</v>
      </c>
      <c r="O155" s="2">
        <v>1.85</v>
      </c>
      <c r="P155" s="2">
        <v>0.0</v>
      </c>
      <c r="Q155" s="2">
        <v>0.09</v>
      </c>
      <c r="R155" s="2">
        <v>2.71</v>
      </c>
      <c r="S155" s="2">
        <v>-1.35</v>
      </c>
      <c r="T155" s="2">
        <v>2.35</v>
      </c>
      <c r="U155" s="2">
        <v>1.5</v>
      </c>
      <c r="V155" s="2">
        <v>5.0</v>
      </c>
    </row>
    <row r="156">
      <c r="A156" s="2" t="s">
        <v>865</v>
      </c>
      <c r="B156" s="2" t="s">
        <v>143</v>
      </c>
      <c r="C156" s="2">
        <v>2.07</v>
      </c>
      <c r="D156" s="2">
        <v>0.88</v>
      </c>
      <c r="E156" s="2" t="s">
        <v>113</v>
      </c>
      <c r="F156" s="2">
        <v>25040.5</v>
      </c>
      <c r="G156" s="2">
        <v>0.64</v>
      </c>
      <c r="H156" s="2">
        <v>0.17</v>
      </c>
      <c r="I156" s="2">
        <v>0.65</v>
      </c>
      <c r="J156" s="2">
        <v>4.27</v>
      </c>
      <c r="K156" s="2">
        <v>0.05</v>
      </c>
      <c r="L156" s="2">
        <v>5.81</v>
      </c>
      <c r="M156" s="2">
        <v>0.37</v>
      </c>
      <c r="N156" s="2">
        <v>0.07</v>
      </c>
      <c r="O156" s="2">
        <v>1.87</v>
      </c>
      <c r="P156" s="2">
        <v>0.0</v>
      </c>
      <c r="Q156" s="2">
        <v>0.04</v>
      </c>
      <c r="R156" s="2">
        <v>2.35</v>
      </c>
      <c r="S156" s="2">
        <v>-3.47</v>
      </c>
      <c r="T156" s="2">
        <v>3.36</v>
      </c>
      <c r="U156" s="2">
        <v>2.48</v>
      </c>
      <c r="V156" s="2">
        <v>6.0</v>
      </c>
    </row>
    <row r="157">
      <c r="A157" s="2" t="s">
        <v>868</v>
      </c>
      <c r="B157" s="2" t="s">
        <v>134</v>
      </c>
      <c r="C157" s="2">
        <v>0.55</v>
      </c>
      <c r="D157" s="2">
        <v>0.5</v>
      </c>
      <c r="E157" s="2" t="s">
        <v>55</v>
      </c>
      <c r="F157" s="2">
        <v>1647.86</v>
      </c>
      <c r="G157" s="2">
        <v>0.47</v>
      </c>
      <c r="H157" s="2">
        <v>0.03</v>
      </c>
      <c r="I157" s="2">
        <v>0.09</v>
      </c>
      <c r="J157" s="2">
        <v>0.0</v>
      </c>
      <c r="K157" s="2">
        <v>0.46</v>
      </c>
      <c r="L157" s="2">
        <v>1.29</v>
      </c>
      <c r="M157" s="2">
        <v>0.66</v>
      </c>
      <c r="N157" s="2">
        <v>0.01</v>
      </c>
      <c r="O157" s="2">
        <v>2.28</v>
      </c>
      <c r="P157" s="2">
        <v>1.19</v>
      </c>
      <c r="Q157" s="2">
        <v>0.23</v>
      </c>
      <c r="R157" s="2">
        <v>4.36</v>
      </c>
      <c r="S157" s="2">
        <v>3.08</v>
      </c>
      <c r="T157" s="2">
        <v>0.74</v>
      </c>
      <c r="U157" s="2">
        <v>0.29</v>
      </c>
      <c r="V157" s="2" t="s">
        <v>164</v>
      </c>
    </row>
    <row r="158">
      <c r="A158" s="2" t="s">
        <v>870</v>
      </c>
      <c r="B158" s="2" t="s">
        <v>73</v>
      </c>
      <c r="C158" s="2">
        <v>10.2</v>
      </c>
      <c r="D158" s="2" t="s">
        <v>106</v>
      </c>
      <c r="E158" s="2" t="s">
        <v>129</v>
      </c>
      <c r="F158" s="2" t="s">
        <v>106</v>
      </c>
      <c r="G158" s="2">
        <v>0.16</v>
      </c>
      <c r="H158" s="2">
        <v>0.43</v>
      </c>
      <c r="I158" s="2">
        <v>0.52</v>
      </c>
      <c r="J158" s="2">
        <v>0.07</v>
      </c>
      <c r="K158" s="2">
        <v>0.01</v>
      </c>
      <c r="L158" s="2">
        <v>1.24</v>
      </c>
      <c r="M158" s="2">
        <v>0.09</v>
      </c>
      <c r="N158" s="2">
        <v>0.56</v>
      </c>
      <c r="O158" s="2">
        <v>0.22</v>
      </c>
      <c r="P158" s="2">
        <v>0.33</v>
      </c>
      <c r="Q158" s="2">
        <v>0.06</v>
      </c>
      <c r="R158" s="2">
        <v>1.27</v>
      </c>
      <c r="S158" s="2">
        <v>0.03</v>
      </c>
      <c r="T158" s="2">
        <v>0.71</v>
      </c>
      <c r="U158" s="2">
        <v>0.98</v>
      </c>
      <c r="V158" s="2">
        <v>5.0</v>
      </c>
    </row>
    <row r="159">
      <c r="A159" s="2" t="s">
        <v>871</v>
      </c>
      <c r="B159" s="2" t="s">
        <v>73</v>
      </c>
      <c r="C159" s="2">
        <v>52.39</v>
      </c>
      <c r="D159" s="2">
        <v>0.66</v>
      </c>
      <c r="E159" s="2" t="s">
        <v>175</v>
      </c>
      <c r="F159" s="2">
        <v>8089.87</v>
      </c>
      <c r="G159" s="2">
        <v>0.44</v>
      </c>
      <c r="H159" s="2">
        <v>0.11</v>
      </c>
      <c r="I159" s="2">
        <v>0.29</v>
      </c>
      <c r="J159" s="2">
        <v>2.34</v>
      </c>
      <c r="K159" s="2">
        <v>0.08</v>
      </c>
      <c r="L159" s="2">
        <v>3.31</v>
      </c>
      <c r="M159" s="2">
        <v>0.35</v>
      </c>
      <c r="N159" s="2">
        <v>0.58</v>
      </c>
      <c r="O159" s="2">
        <v>0.02</v>
      </c>
      <c r="P159" s="2">
        <v>0.17</v>
      </c>
      <c r="Q159" s="2">
        <v>0.04</v>
      </c>
      <c r="R159" s="2">
        <v>1.15</v>
      </c>
      <c r="S159" s="2">
        <v>-2.16</v>
      </c>
      <c r="T159" s="2">
        <v>1.91</v>
      </c>
      <c r="U159" s="2">
        <v>2.87</v>
      </c>
      <c r="V159" s="2">
        <v>5.0</v>
      </c>
    </row>
    <row r="160">
      <c r="A160" s="2" t="s">
        <v>875</v>
      </c>
      <c r="B160" s="2" t="s">
        <v>143</v>
      </c>
      <c r="C160" s="2">
        <v>46.76</v>
      </c>
      <c r="D160" s="2">
        <v>0.87</v>
      </c>
      <c r="E160" s="2" t="s">
        <v>113</v>
      </c>
      <c r="F160" s="2">
        <v>32008.7</v>
      </c>
      <c r="G160" s="2">
        <v>0.78</v>
      </c>
      <c r="H160" s="2">
        <v>0.15</v>
      </c>
      <c r="I160" s="2">
        <v>0.17</v>
      </c>
      <c r="J160" s="2">
        <v>2.22</v>
      </c>
      <c r="K160" s="2">
        <v>0.32</v>
      </c>
      <c r="L160" s="2">
        <v>3.67</v>
      </c>
      <c r="M160" s="2">
        <v>0.72</v>
      </c>
      <c r="N160" s="2">
        <v>0.1</v>
      </c>
      <c r="O160" s="2">
        <v>0.34</v>
      </c>
      <c r="P160" s="2">
        <v>0.06</v>
      </c>
      <c r="Q160" s="2">
        <v>0.04</v>
      </c>
      <c r="R160" s="2">
        <v>1.25</v>
      </c>
      <c r="S160" s="2">
        <v>-2.42</v>
      </c>
      <c r="T160" s="2">
        <v>2.12</v>
      </c>
      <c r="U160" s="2">
        <v>2.94</v>
      </c>
      <c r="V160" s="2">
        <v>6.0</v>
      </c>
    </row>
    <row r="161">
      <c r="A161" s="2" t="s">
        <v>879</v>
      </c>
      <c r="B161" s="2" t="s">
        <v>134</v>
      </c>
      <c r="C161" s="2">
        <v>21.1</v>
      </c>
      <c r="D161" s="2">
        <v>0.75</v>
      </c>
      <c r="E161" s="2" t="s">
        <v>76</v>
      </c>
      <c r="F161" s="2">
        <v>2880.03</v>
      </c>
      <c r="G161" s="2">
        <v>0.31</v>
      </c>
      <c r="H161" s="2">
        <v>0.01</v>
      </c>
      <c r="I161" s="2">
        <v>0.16</v>
      </c>
      <c r="J161" s="2">
        <v>0.52</v>
      </c>
      <c r="K161" s="2">
        <v>0.27</v>
      </c>
      <c r="L161" s="2">
        <v>1.32</v>
      </c>
      <c r="M161" s="2">
        <v>0.26</v>
      </c>
      <c r="N161" s="2">
        <v>0.02</v>
      </c>
      <c r="O161" s="2">
        <v>0.04</v>
      </c>
      <c r="P161" s="2">
        <v>0.07</v>
      </c>
      <c r="Q161" s="2">
        <v>0.05</v>
      </c>
      <c r="R161" s="2">
        <v>0.44</v>
      </c>
      <c r="S161" s="2">
        <v>-0.88</v>
      </c>
      <c r="T161" s="2">
        <v>0.77</v>
      </c>
      <c r="U161" s="2">
        <v>3.01</v>
      </c>
      <c r="V161" s="2">
        <v>6.0</v>
      </c>
    </row>
    <row r="162">
      <c r="A162" s="2" t="s">
        <v>883</v>
      </c>
      <c r="B162" s="2" t="s">
        <v>103</v>
      </c>
      <c r="C162" s="2">
        <v>0.54</v>
      </c>
      <c r="D162" s="2">
        <v>0.71</v>
      </c>
      <c r="E162" s="2" t="s">
        <v>76</v>
      </c>
      <c r="F162" s="2">
        <v>8190.7</v>
      </c>
      <c r="G162" s="2">
        <v>0.43</v>
      </c>
      <c r="H162" s="2">
        <v>0.06</v>
      </c>
      <c r="I162" s="2">
        <v>0.52</v>
      </c>
      <c r="J162" s="2">
        <v>3.01</v>
      </c>
      <c r="K162" s="2">
        <v>0.14</v>
      </c>
      <c r="L162" s="2">
        <v>4.25</v>
      </c>
      <c r="M162" s="2">
        <v>0.3</v>
      </c>
      <c r="N162" s="2">
        <v>0.03</v>
      </c>
      <c r="O162" s="2">
        <v>81.52</v>
      </c>
      <c r="P162" s="2">
        <v>7.39</v>
      </c>
      <c r="Q162" s="2">
        <v>0.09</v>
      </c>
      <c r="R162" s="2">
        <v>89.33</v>
      </c>
      <c r="S162" s="2">
        <v>85.08</v>
      </c>
      <c r="T162" s="2">
        <v>2.46</v>
      </c>
      <c r="U162" s="2">
        <v>0.05</v>
      </c>
      <c r="V162" s="2" t="s">
        <v>164</v>
      </c>
    </row>
    <row r="163">
      <c r="A163" s="2" t="s">
        <v>889</v>
      </c>
      <c r="B163" s="2" t="s">
        <v>73</v>
      </c>
      <c r="C163" s="2">
        <v>1.23</v>
      </c>
      <c r="D163" s="2">
        <v>0.53</v>
      </c>
      <c r="E163" s="2" t="s">
        <v>55</v>
      </c>
      <c r="F163" s="2">
        <v>4657.48</v>
      </c>
      <c r="G163" s="2">
        <v>0.35</v>
      </c>
      <c r="H163" s="2">
        <v>0.41</v>
      </c>
      <c r="I163" s="2">
        <v>0.52</v>
      </c>
      <c r="J163" s="2">
        <v>0.67</v>
      </c>
      <c r="K163" s="2">
        <v>0.01</v>
      </c>
      <c r="L163" s="2">
        <v>2.01</v>
      </c>
      <c r="M163" s="2">
        <v>0.25</v>
      </c>
      <c r="N163" s="2">
        <v>0.51</v>
      </c>
      <c r="O163" s="2">
        <v>0.05</v>
      </c>
      <c r="P163" s="2">
        <v>0.0</v>
      </c>
      <c r="Q163" s="2">
        <v>0.06</v>
      </c>
      <c r="R163" s="2">
        <v>0.88</v>
      </c>
      <c r="S163" s="2">
        <v>-1.14</v>
      </c>
      <c r="T163" s="2">
        <v>1.16</v>
      </c>
      <c r="U163" s="2">
        <v>2.3</v>
      </c>
      <c r="V163" s="2" t="s">
        <v>164</v>
      </c>
    </row>
    <row r="164">
      <c r="A164" s="2" t="s">
        <v>892</v>
      </c>
      <c r="B164" s="2" t="s">
        <v>143</v>
      </c>
      <c r="C164" s="2">
        <v>9.51</v>
      </c>
      <c r="D164" s="2">
        <v>0.9</v>
      </c>
      <c r="E164" s="2" t="s">
        <v>113</v>
      </c>
      <c r="F164" s="2">
        <v>59381.9</v>
      </c>
      <c r="G164" s="2">
        <v>1.47</v>
      </c>
      <c r="H164" s="2">
        <v>0.27</v>
      </c>
      <c r="I164" s="2">
        <v>1.3</v>
      </c>
      <c r="J164" s="2">
        <v>3.88</v>
      </c>
      <c r="K164" s="2">
        <v>0.09</v>
      </c>
      <c r="L164" s="2">
        <v>7.25</v>
      </c>
      <c r="M164" s="2">
        <v>1.31</v>
      </c>
      <c r="N164" s="2">
        <v>0.22</v>
      </c>
      <c r="O164" s="2">
        <v>6.66</v>
      </c>
      <c r="P164" s="2">
        <v>2.19</v>
      </c>
      <c r="Q164" s="2">
        <v>0.24</v>
      </c>
      <c r="R164" s="2">
        <v>10.62</v>
      </c>
      <c r="S164" s="2">
        <v>3.38</v>
      </c>
      <c r="T164" s="2">
        <v>4.19</v>
      </c>
      <c r="U164" s="2">
        <v>0.68</v>
      </c>
      <c r="V164" s="2">
        <v>5.0</v>
      </c>
    </row>
    <row r="165">
      <c r="A165" s="2" t="s">
        <v>897</v>
      </c>
      <c r="B165" s="2" t="s">
        <v>58</v>
      </c>
      <c r="C165" s="2">
        <v>8.0</v>
      </c>
      <c r="D165" s="2">
        <v>0.93</v>
      </c>
      <c r="E165" s="2" t="s">
        <v>113</v>
      </c>
      <c r="F165" s="2">
        <v>88506.2</v>
      </c>
      <c r="G165" s="2">
        <v>0.75</v>
      </c>
      <c r="H165" s="2">
        <v>0.22</v>
      </c>
      <c r="I165" s="2">
        <v>0.38</v>
      </c>
      <c r="J165" s="2">
        <v>4.26</v>
      </c>
      <c r="K165" s="2">
        <v>0.07</v>
      </c>
      <c r="L165" s="2">
        <v>5.79</v>
      </c>
      <c r="M165" s="2">
        <v>0.32</v>
      </c>
      <c r="N165" s="2">
        <v>0.12</v>
      </c>
      <c r="O165" s="2">
        <v>0.74</v>
      </c>
      <c r="P165" s="2">
        <v>0.01</v>
      </c>
      <c r="Q165" s="2">
        <v>0.12</v>
      </c>
      <c r="R165" s="2">
        <v>1.3</v>
      </c>
      <c r="S165" s="2">
        <v>-4.48</v>
      </c>
      <c r="T165" s="2">
        <v>3.34</v>
      </c>
      <c r="U165" s="2">
        <v>4.44</v>
      </c>
      <c r="V165" s="2">
        <v>6.0</v>
      </c>
    </row>
    <row r="166">
      <c r="A166" s="2" t="s">
        <v>901</v>
      </c>
      <c r="B166" s="2" t="s">
        <v>33</v>
      </c>
      <c r="C166" s="2">
        <v>21.89</v>
      </c>
      <c r="D166" s="2">
        <v>0.62</v>
      </c>
      <c r="E166" s="2" t="s">
        <v>175</v>
      </c>
      <c r="F166" s="2" t="s">
        <v>106</v>
      </c>
      <c r="G166" s="2">
        <v>0.52</v>
      </c>
      <c r="H166" s="2">
        <v>0.09</v>
      </c>
      <c r="I166" s="2">
        <v>0.04</v>
      </c>
      <c r="J166" s="2">
        <v>0.81</v>
      </c>
      <c r="K166" s="2">
        <v>0.01</v>
      </c>
      <c r="L166" s="2">
        <v>1.51</v>
      </c>
      <c r="M166" s="2">
        <v>0.41</v>
      </c>
      <c r="N166" s="2">
        <v>0.1</v>
      </c>
      <c r="O166" s="2">
        <v>0.04</v>
      </c>
      <c r="P166" s="2">
        <v>0.0</v>
      </c>
      <c r="Q166" s="2">
        <v>0.05</v>
      </c>
      <c r="R166" s="2">
        <v>0.6</v>
      </c>
      <c r="S166" s="2">
        <v>-0.91</v>
      </c>
      <c r="T166" s="2">
        <v>0.87</v>
      </c>
      <c r="U166" s="2">
        <v>2.5</v>
      </c>
      <c r="V166" s="2">
        <v>5.0</v>
      </c>
    </row>
    <row r="167">
      <c r="A167" s="2" t="s">
        <v>904</v>
      </c>
      <c r="B167" s="2" t="s">
        <v>33</v>
      </c>
      <c r="C167" s="2">
        <v>8.01</v>
      </c>
      <c r="D167" s="2">
        <v>0.62</v>
      </c>
      <c r="E167" s="2" t="s">
        <v>175</v>
      </c>
      <c r="F167" s="2">
        <v>836.17</v>
      </c>
      <c r="G167" s="2">
        <v>0.46</v>
      </c>
      <c r="H167" s="2">
        <v>0.14</v>
      </c>
      <c r="I167" s="2">
        <v>0.1</v>
      </c>
      <c r="J167" s="2">
        <v>0.13</v>
      </c>
      <c r="K167" s="2">
        <v>0.0</v>
      </c>
      <c r="L167" s="2">
        <v>0.91</v>
      </c>
      <c r="M167" s="2">
        <v>0.29</v>
      </c>
      <c r="N167" s="2">
        <v>0.14</v>
      </c>
      <c r="O167" s="2">
        <v>0.01</v>
      </c>
      <c r="P167" s="2">
        <v>0.01</v>
      </c>
      <c r="Q167" s="2">
        <v>0.08</v>
      </c>
      <c r="R167" s="2">
        <v>0.53</v>
      </c>
      <c r="S167" s="2">
        <v>-0.38</v>
      </c>
      <c r="T167" s="2">
        <v>0.52</v>
      </c>
      <c r="U167" s="2">
        <v>1.71</v>
      </c>
      <c r="V167" s="2">
        <v>5.0</v>
      </c>
    </row>
    <row r="168">
      <c r="A168" s="2" t="s">
        <v>906</v>
      </c>
      <c r="B168" s="2" t="s">
        <v>73</v>
      </c>
      <c r="C168" s="2">
        <v>47.78</v>
      </c>
      <c r="D168" s="2">
        <v>0.51</v>
      </c>
      <c r="E168" s="2" t="s">
        <v>55</v>
      </c>
      <c r="F168" s="2">
        <v>765.33</v>
      </c>
      <c r="G168" s="2">
        <v>0.44</v>
      </c>
      <c r="H168" s="2">
        <v>0.34</v>
      </c>
      <c r="I168" s="2">
        <v>0.23</v>
      </c>
      <c r="J168" s="2">
        <v>0.17</v>
      </c>
      <c r="K168" s="2">
        <v>0.09</v>
      </c>
      <c r="L168" s="2">
        <v>1.32</v>
      </c>
      <c r="M168" s="2">
        <v>0.46</v>
      </c>
      <c r="N168" s="2">
        <v>0.34</v>
      </c>
      <c r="O168" s="2">
        <v>0.17</v>
      </c>
      <c r="P168" s="2">
        <v>0.06</v>
      </c>
      <c r="Q168" s="2">
        <v>0.06</v>
      </c>
      <c r="R168" s="2">
        <v>1.08</v>
      </c>
      <c r="S168" s="2">
        <v>-0.24</v>
      </c>
      <c r="T168" s="2">
        <v>0.76</v>
      </c>
      <c r="U168" s="2">
        <v>1.23</v>
      </c>
      <c r="V168" s="2">
        <v>6.0</v>
      </c>
    </row>
    <row r="169">
      <c r="A169" s="2" t="s">
        <v>910</v>
      </c>
      <c r="B169" s="2" t="s">
        <v>134</v>
      </c>
      <c r="C169" s="2">
        <v>66.78</v>
      </c>
      <c r="D169" s="2">
        <v>0.72</v>
      </c>
      <c r="E169" s="2" t="s">
        <v>76</v>
      </c>
      <c r="F169" s="2">
        <v>5479.29</v>
      </c>
      <c r="G169" s="2">
        <v>0.67</v>
      </c>
      <c r="H169" s="2">
        <v>0.02</v>
      </c>
      <c r="I169" s="2">
        <v>0.24</v>
      </c>
      <c r="J169" s="2">
        <v>1.54</v>
      </c>
      <c r="K169" s="2">
        <v>0.13</v>
      </c>
      <c r="L169" s="2">
        <v>2.66</v>
      </c>
      <c r="M169" s="2">
        <v>0.77</v>
      </c>
      <c r="N169" s="2">
        <v>0.01</v>
      </c>
      <c r="O169" s="2">
        <v>0.2</v>
      </c>
      <c r="P169" s="2">
        <v>0.19</v>
      </c>
      <c r="Q169" s="2">
        <v>0.07</v>
      </c>
      <c r="R169" s="2">
        <v>1.24</v>
      </c>
      <c r="S169" s="2">
        <v>-1.42</v>
      </c>
      <c r="T169" s="2">
        <v>1.54</v>
      </c>
      <c r="U169" s="2">
        <v>2.14</v>
      </c>
      <c r="V169" s="2">
        <v>6.0</v>
      </c>
    </row>
    <row r="170">
      <c r="A170" s="2" t="s">
        <v>913</v>
      </c>
      <c r="B170" s="2" t="s">
        <v>134</v>
      </c>
      <c r="C170" s="2">
        <v>1.11</v>
      </c>
      <c r="D170" s="2">
        <v>0.6</v>
      </c>
      <c r="E170" s="2" t="s">
        <v>175</v>
      </c>
      <c r="F170" s="2">
        <v>5167.86</v>
      </c>
      <c r="G170" s="2">
        <v>0.25</v>
      </c>
      <c r="H170" s="2">
        <v>0.07</v>
      </c>
      <c r="I170" s="2">
        <v>0.04</v>
      </c>
      <c r="J170" s="2">
        <v>0.06</v>
      </c>
      <c r="K170" s="2">
        <v>0.02</v>
      </c>
      <c r="L170" s="2">
        <v>0.48</v>
      </c>
      <c r="M170" s="2">
        <v>0.21</v>
      </c>
      <c r="N170" s="2">
        <v>0.06</v>
      </c>
      <c r="O170" s="2">
        <v>0.52</v>
      </c>
      <c r="P170" s="2">
        <v>0.94</v>
      </c>
      <c r="Q170" s="2">
        <v>0.04</v>
      </c>
      <c r="R170" s="2">
        <v>1.78</v>
      </c>
      <c r="S170" s="2">
        <v>1.3</v>
      </c>
      <c r="T170" s="2">
        <v>0.28</v>
      </c>
      <c r="U170" s="2">
        <v>0.27</v>
      </c>
      <c r="V170" s="2" t="s">
        <v>124</v>
      </c>
    </row>
    <row r="171">
      <c r="A171" s="2" t="s">
        <v>915</v>
      </c>
      <c r="B171" s="2" t="s">
        <v>73</v>
      </c>
      <c r="C171" s="2">
        <v>6.64</v>
      </c>
      <c r="D171" s="2">
        <v>0.47</v>
      </c>
      <c r="E171" s="2" t="s">
        <v>55</v>
      </c>
      <c r="F171" s="2">
        <v>580.86</v>
      </c>
      <c r="G171" s="2">
        <v>0.34</v>
      </c>
      <c r="H171" s="2">
        <v>0.1</v>
      </c>
      <c r="I171" s="2">
        <v>0.27</v>
      </c>
      <c r="J171" s="2">
        <v>0.31</v>
      </c>
      <c r="K171" s="2">
        <v>0.08</v>
      </c>
      <c r="L171" s="2">
        <v>1.13</v>
      </c>
      <c r="M171" s="2">
        <v>0.34</v>
      </c>
      <c r="N171" s="2">
        <v>0.12</v>
      </c>
      <c r="O171" s="2">
        <v>0.03</v>
      </c>
      <c r="P171" s="2">
        <v>0.02</v>
      </c>
      <c r="Q171" s="2">
        <v>0.02</v>
      </c>
      <c r="R171" s="2">
        <v>0.53</v>
      </c>
      <c r="S171" s="2">
        <v>-0.6</v>
      </c>
      <c r="T171" s="2">
        <v>0.65</v>
      </c>
      <c r="U171" s="2">
        <v>2.13</v>
      </c>
      <c r="V171" s="2">
        <v>6.0</v>
      </c>
    </row>
    <row r="172">
      <c r="A172" s="2" t="s">
        <v>919</v>
      </c>
      <c r="B172" s="2" t="s">
        <v>134</v>
      </c>
      <c r="C172" s="2">
        <v>0.1</v>
      </c>
      <c r="D172" s="2">
        <v>0.72</v>
      </c>
      <c r="E172" s="2" t="s">
        <v>76</v>
      </c>
      <c r="F172" s="2">
        <v>4330.9</v>
      </c>
      <c r="G172" s="2">
        <v>1.19</v>
      </c>
      <c r="H172" s="2">
        <v>0.32</v>
      </c>
      <c r="I172" s="2">
        <v>0.14</v>
      </c>
      <c r="J172" s="2">
        <v>0.88</v>
      </c>
      <c r="K172" s="2">
        <v>0.18</v>
      </c>
      <c r="L172" s="2">
        <v>2.7</v>
      </c>
      <c r="M172" s="2">
        <v>0.83</v>
      </c>
      <c r="N172" s="2">
        <v>0.02</v>
      </c>
      <c r="O172" s="2">
        <v>0.11</v>
      </c>
      <c r="P172" s="2">
        <v>0.52</v>
      </c>
      <c r="Q172" s="2">
        <v>0.0</v>
      </c>
      <c r="R172" s="2">
        <v>1.48</v>
      </c>
      <c r="S172" s="2">
        <v>-1.22</v>
      </c>
      <c r="T172" s="2">
        <v>1.56</v>
      </c>
      <c r="U172" s="2">
        <v>1.82</v>
      </c>
      <c r="V172" s="2" t="s">
        <v>124</v>
      </c>
    </row>
    <row r="173">
      <c r="A173" s="2" t="s">
        <v>923</v>
      </c>
      <c r="B173" s="2" t="s">
        <v>103</v>
      </c>
      <c r="C173" s="2">
        <v>1.34</v>
      </c>
      <c r="D173" s="2">
        <v>0.77</v>
      </c>
      <c r="E173" s="2" t="s">
        <v>76</v>
      </c>
      <c r="F173" s="2">
        <v>18310.8</v>
      </c>
      <c r="G173" s="2">
        <v>0.46</v>
      </c>
      <c r="H173" s="2">
        <v>0.19</v>
      </c>
      <c r="I173" s="2">
        <v>0.27</v>
      </c>
      <c r="J173" s="2">
        <v>6.89</v>
      </c>
      <c r="K173" s="2">
        <v>0.11</v>
      </c>
      <c r="L173" s="2">
        <v>7.92</v>
      </c>
      <c r="M173" s="2">
        <v>0.04</v>
      </c>
      <c r="N173" s="2">
        <v>0.01</v>
      </c>
      <c r="O173" s="2">
        <v>0.15</v>
      </c>
      <c r="P173" s="2">
        <v>1.37</v>
      </c>
      <c r="Q173" s="2">
        <v>0.0</v>
      </c>
      <c r="R173" s="2">
        <v>1.56</v>
      </c>
      <c r="S173" s="2">
        <v>-6.36</v>
      </c>
      <c r="T173" s="2">
        <v>4.57</v>
      </c>
      <c r="U173" s="2">
        <v>5.07</v>
      </c>
      <c r="V173" s="2" t="s">
        <v>124</v>
      </c>
    </row>
    <row r="174">
      <c r="A174" s="2" t="s">
        <v>927</v>
      </c>
      <c r="B174" s="2" t="s">
        <v>73</v>
      </c>
      <c r="C174" s="2">
        <v>10.88</v>
      </c>
      <c r="D174" s="2">
        <v>0.72</v>
      </c>
      <c r="E174" s="2" t="s">
        <v>76</v>
      </c>
      <c r="F174" s="2">
        <v>4305.07</v>
      </c>
      <c r="G174" s="2">
        <v>0.76</v>
      </c>
      <c r="H174" s="2">
        <v>0.09</v>
      </c>
      <c r="I174" s="2">
        <v>0.28</v>
      </c>
      <c r="J174" s="2">
        <v>1.11</v>
      </c>
      <c r="K174" s="2">
        <v>0.06</v>
      </c>
      <c r="L174" s="2">
        <v>2.34</v>
      </c>
      <c r="M174" s="2">
        <v>0.53</v>
      </c>
      <c r="N174" s="2">
        <v>0.08</v>
      </c>
      <c r="O174" s="2">
        <v>0.05</v>
      </c>
      <c r="P174" s="2">
        <v>0.24</v>
      </c>
      <c r="Q174" s="2">
        <v>0.04</v>
      </c>
      <c r="R174" s="2">
        <v>0.93</v>
      </c>
      <c r="S174" s="2">
        <v>-1.4</v>
      </c>
      <c r="T174" s="2">
        <v>1.35</v>
      </c>
      <c r="U174" s="2">
        <v>2.51</v>
      </c>
      <c r="V174" s="2">
        <v>5.0</v>
      </c>
    </row>
    <row r="175">
      <c r="A175" s="2" t="s">
        <v>931</v>
      </c>
      <c r="B175" s="2" t="s">
        <v>33</v>
      </c>
      <c r="C175" s="2">
        <v>74.0</v>
      </c>
      <c r="D175" s="2">
        <v>0.76</v>
      </c>
      <c r="E175" s="2" t="s">
        <v>76</v>
      </c>
      <c r="F175" s="2">
        <v>10437.7</v>
      </c>
      <c r="G175" s="2">
        <v>0.87</v>
      </c>
      <c r="H175" s="2">
        <v>0.12</v>
      </c>
      <c r="I175" s="2">
        <v>0.34</v>
      </c>
      <c r="J175" s="2">
        <v>1.92</v>
      </c>
      <c r="K175" s="2">
        <v>0.04</v>
      </c>
      <c r="L175" s="2">
        <v>3.33</v>
      </c>
      <c r="M175" s="2">
        <v>0.75</v>
      </c>
      <c r="N175" s="2">
        <v>0.09</v>
      </c>
      <c r="O175" s="2">
        <v>0.6</v>
      </c>
      <c r="P175" s="2">
        <v>0.04</v>
      </c>
      <c r="Q175" s="2">
        <v>0.04</v>
      </c>
      <c r="R175" s="2">
        <v>1.52</v>
      </c>
      <c r="S175" s="2">
        <v>-1.81</v>
      </c>
      <c r="T175" s="2">
        <v>1.92</v>
      </c>
      <c r="U175" s="2">
        <v>2.19</v>
      </c>
      <c r="V175" s="2">
        <v>5.0</v>
      </c>
    </row>
    <row r="176">
      <c r="A176" s="2" t="s">
        <v>934</v>
      </c>
      <c r="B176" s="2" t="s">
        <v>33</v>
      </c>
      <c r="C176" s="2">
        <v>5.17</v>
      </c>
      <c r="D176" s="2">
        <v>0.68</v>
      </c>
      <c r="E176" s="2" t="s">
        <v>175</v>
      </c>
      <c r="F176" s="2">
        <v>5290.14</v>
      </c>
      <c r="G176" s="2">
        <v>0.73</v>
      </c>
      <c r="H176" s="2">
        <v>0.44</v>
      </c>
      <c r="I176" s="2">
        <v>0.08</v>
      </c>
      <c r="J176" s="2">
        <v>4.13</v>
      </c>
      <c r="K176" s="2">
        <v>0.01</v>
      </c>
      <c r="L176" s="2">
        <v>5.47</v>
      </c>
      <c r="M176" s="2">
        <v>0.6</v>
      </c>
      <c r="N176" s="2">
        <v>1.96</v>
      </c>
      <c r="O176" s="2">
        <v>0.02</v>
      </c>
      <c r="P176" s="2">
        <v>0.13</v>
      </c>
      <c r="Q176" s="2">
        <v>0.09</v>
      </c>
      <c r="R176" s="2">
        <v>2.79</v>
      </c>
      <c r="S176" s="2">
        <v>-2.68</v>
      </c>
      <c r="T176" s="2">
        <v>3.16</v>
      </c>
      <c r="U176" s="2">
        <v>1.96</v>
      </c>
      <c r="V176" s="2">
        <v>6.0</v>
      </c>
    </row>
    <row r="177">
      <c r="A177" s="2" t="s">
        <v>937</v>
      </c>
      <c r="B177" s="2" t="s">
        <v>73</v>
      </c>
      <c r="C177" s="2">
        <v>36.35</v>
      </c>
      <c r="D177" s="2">
        <v>0.48</v>
      </c>
      <c r="E177" s="2" t="s">
        <v>55</v>
      </c>
      <c r="F177" s="2">
        <v>601.35</v>
      </c>
      <c r="G177" s="2">
        <v>0.34</v>
      </c>
      <c r="H177" s="2">
        <v>0.15</v>
      </c>
      <c r="I177" s="2">
        <v>0.54</v>
      </c>
      <c r="J177" s="2">
        <v>0.08</v>
      </c>
      <c r="K177" s="2">
        <v>0.11</v>
      </c>
      <c r="L177" s="2">
        <v>1.24</v>
      </c>
      <c r="M177" s="2">
        <v>0.35</v>
      </c>
      <c r="N177" s="2">
        <v>0.15</v>
      </c>
      <c r="O177" s="2">
        <v>0.01</v>
      </c>
      <c r="P177" s="2">
        <v>0.04</v>
      </c>
      <c r="Q177" s="2">
        <v>0.04</v>
      </c>
      <c r="R177" s="2">
        <v>0.59</v>
      </c>
      <c r="S177" s="2">
        <v>-0.66</v>
      </c>
      <c r="T177" s="2">
        <v>0.72</v>
      </c>
      <c r="U177" s="2">
        <v>2.12</v>
      </c>
      <c r="V177" s="2">
        <v>6.0</v>
      </c>
    </row>
    <row r="178">
      <c r="A178" s="2" t="s">
        <v>941</v>
      </c>
      <c r="B178" s="2" t="s">
        <v>58</v>
      </c>
      <c r="C178" s="2">
        <v>45.53</v>
      </c>
      <c r="D178" s="2">
        <v>0.74</v>
      </c>
      <c r="E178" s="2" t="s">
        <v>76</v>
      </c>
      <c r="F178" s="2">
        <v>3589.63</v>
      </c>
      <c r="G178" s="2">
        <v>0.62</v>
      </c>
      <c r="H178" s="2">
        <v>0.01</v>
      </c>
      <c r="I178" s="2">
        <v>0.16</v>
      </c>
      <c r="J178" s="2">
        <v>1.92</v>
      </c>
      <c r="K178" s="2">
        <v>0.06</v>
      </c>
      <c r="L178" s="2">
        <v>2.84</v>
      </c>
      <c r="M178" s="2">
        <v>1.5</v>
      </c>
      <c r="N178" s="2">
        <v>0.12</v>
      </c>
      <c r="O178" s="2">
        <v>0.43</v>
      </c>
      <c r="P178" s="2">
        <v>0.15</v>
      </c>
      <c r="Q178" s="2">
        <v>0.07</v>
      </c>
      <c r="R178" s="2">
        <v>2.27</v>
      </c>
      <c r="S178" s="2">
        <v>-0.58</v>
      </c>
      <c r="T178" s="2">
        <v>1.64</v>
      </c>
      <c r="U178" s="2">
        <v>1.25</v>
      </c>
      <c r="V178" s="2">
        <v>5.0</v>
      </c>
    </row>
    <row r="179">
      <c r="A179" s="2" t="s">
        <v>945</v>
      </c>
      <c r="B179" s="2" t="s">
        <v>143</v>
      </c>
      <c r="C179" s="2">
        <v>63.03</v>
      </c>
      <c r="D179" s="2">
        <v>0.9</v>
      </c>
      <c r="E179" s="2" t="s">
        <v>113</v>
      </c>
      <c r="F179" s="2">
        <v>40980.5</v>
      </c>
      <c r="G179" s="2">
        <v>0.82</v>
      </c>
      <c r="H179" s="2">
        <v>0.28</v>
      </c>
      <c r="I179" s="2">
        <v>0.45</v>
      </c>
      <c r="J179" s="2">
        <v>3.14</v>
      </c>
      <c r="K179" s="2">
        <v>0.08</v>
      </c>
      <c r="L179" s="2">
        <v>4.94</v>
      </c>
      <c r="M179" s="2">
        <v>0.6</v>
      </c>
      <c r="N179" s="2">
        <v>0.12</v>
      </c>
      <c r="O179" s="2">
        <v>0.12</v>
      </c>
      <c r="P179" s="2">
        <v>0.3</v>
      </c>
      <c r="Q179" s="2">
        <v>0.18</v>
      </c>
      <c r="R179" s="2">
        <v>1.32</v>
      </c>
      <c r="S179" s="2">
        <v>-3.62</v>
      </c>
      <c r="T179" s="2">
        <v>2.85</v>
      </c>
      <c r="U179" s="2">
        <v>3.76</v>
      </c>
      <c r="V179" s="2">
        <v>6.0</v>
      </c>
    </row>
    <row r="180">
      <c r="A180" s="2" t="s">
        <v>950</v>
      </c>
      <c r="B180" s="2" t="s">
        <v>33</v>
      </c>
      <c r="C180" s="2">
        <v>9.206</v>
      </c>
      <c r="D180" s="2">
        <v>0.83</v>
      </c>
      <c r="E180" s="2" t="s">
        <v>113</v>
      </c>
      <c r="F180" s="2">
        <v>40817.4</v>
      </c>
      <c r="G180" s="2">
        <v>0.8</v>
      </c>
      <c r="H180" s="2">
        <v>0.19</v>
      </c>
      <c r="I180" s="2">
        <v>0.38</v>
      </c>
      <c r="J180" s="2">
        <v>6.37</v>
      </c>
      <c r="K180" s="2">
        <v>0.19</v>
      </c>
      <c r="L180" s="2">
        <v>7.93</v>
      </c>
      <c r="M180" s="2">
        <v>0.02</v>
      </c>
      <c r="N180" s="2">
        <v>0.0</v>
      </c>
      <c r="O180" s="2">
        <v>0.07</v>
      </c>
      <c r="P180" s="2">
        <v>0.47</v>
      </c>
      <c r="Q180" s="2">
        <v>0.0</v>
      </c>
      <c r="R180" s="2">
        <v>0.56</v>
      </c>
      <c r="S180" s="2">
        <v>-7.37</v>
      </c>
      <c r="T180" s="2">
        <v>4.58</v>
      </c>
      <c r="U180" s="2">
        <v>14.1607142857143</v>
      </c>
      <c r="V180" s="2">
        <v>6.0</v>
      </c>
    </row>
    <row r="181">
      <c r="A181" s="2" t="s">
        <v>957</v>
      </c>
      <c r="B181" s="2" t="s">
        <v>205</v>
      </c>
      <c r="C181" s="2">
        <v>317.5</v>
      </c>
      <c r="D181" s="2">
        <v>0.91</v>
      </c>
      <c r="E181" s="2" t="s">
        <v>113</v>
      </c>
      <c r="F181" s="2">
        <v>49725.0</v>
      </c>
      <c r="G181" s="2">
        <v>1.13</v>
      </c>
      <c r="H181" s="2">
        <v>0.3</v>
      </c>
      <c r="I181" s="2">
        <v>0.67</v>
      </c>
      <c r="J181" s="2">
        <v>5.9</v>
      </c>
      <c r="K181" s="2">
        <v>0.12</v>
      </c>
      <c r="L181" s="2">
        <v>8.22</v>
      </c>
      <c r="M181" s="2">
        <v>1.49</v>
      </c>
      <c r="N181" s="2">
        <v>0.28</v>
      </c>
      <c r="O181" s="2">
        <v>1.57</v>
      </c>
      <c r="P181" s="2">
        <v>0.33</v>
      </c>
      <c r="Q181" s="2">
        <v>0.09</v>
      </c>
      <c r="R181" s="2">
        <v>3.76</v>
      </c>
      <c r="S181" s="2">
        <v>-4.46</v>
      </c>
      <c r="T181" s="2">
        <v>4.75</v>
      </c>
      <c r="U181" s="2">
        <v>2.19</v>
      </c>
      <c r="V181" s="2">
        <v>6.0</v>
      </c>
    </row>
    <row r="182">
      <c r="A182" s="2" t="s">
        <v>962</v>
      </c>
      <c r="B182" s="2" t="s">
        <v>103</v>
      </c>
      <c r="C182" s="2">
        <v>3.4</v>
      </c>
      <c r="D182" s="2">
        <v>0.79</v>
      </c>
      <c r="E182" s="2" t="s">
        <v>76</v>
      </c>
      <c r="F182" s="2">
        <v>14238.1</v>
      </c>
      <c r="G182" s="2">
        <v>0.19</v>
      </c>
      <c r="H182" s="2">
        <v>0.98</v>
      </c>
      <c r="I182" s="2">
        <v>0.55</v>
      </c>
      <c r="J182" s="2">
        <v>0.98</v>
      </c>
      <c r="K182" s="2">
        <v>0.05</v>
      </c>
      <c r="L182" s="2">
        <v>2.91</v>
      </c>
      <c r="M182" s="2">
        <v>1.89</v>
      </c>
      <c r="N182" s="2">
        <v>4.86</v>
      </c>
      <c r="O182" s="2">
        <v>1.22</v>
      </c>
      <c r="P182" s="2">
        <v>2.18</v>
      </c>
      <c r="Q182" s="2">
        <v>0.17</v>
      </c>
      <c r="R182" s="2">
        <v>10.32</v>
      </c>
      <c r="S182" s="2">
        <v>7.41</v>
      </c>
      <c r="T182" s="2">
        <v>1.68</v>
      </c>
      <c r="U182" s="2">
        <v>0.28</v>
      </c>
      <c r="V182" s="2" t="s">
        <v>124</v>
      </c>
    </row>
    <row r="183">
      <c r="A183" s="2" t="s">
        <v>967</v>
      </c>
      <c r="B183" s="2" t="s">
        <v>33</v>
      </c>
      <c r="C183" s="2">
        <v>28.54</v>
      </c>
      <c r="D183" s="2">
        <v>0.67</v>
      </c>
      <c r="E183" s="2" t="s">
        <v>175</v>
      </c>
      <c r="F183" s="2">
        <v>1560.85</v>
      </c>
      <c r="G183" s="2">
        <v>0.62</v>
      </c>
      <c r="H183" s="2">
        <v>0.13</v>
      </c>
      <c r="I183" s="2">
        <v>0.08</v>
      </c>
      <c r="J183" s="2">
        <v>1.41</v>
      </c>
      <c r="K183" s="2">
        <v>0.0</v>
      </c>
      <c r="L183" s="2">
        <v>2.32</v>
      </c>
      <c r="M183" s="2">
        <v>0.56</v>
      </c>
      <c r="N183" s="2">
        <v>0.2</v>
      </c>
      <c r="O183" s="2">
        <v>0.06</v>
      </c>
      <c r="P183" s="2">
        <v>0.03</v>
      </c>
      <c r="Q183" s="2">
        <v>0.08</v>
      </c>
      <c r="R183" s="2">
        <v>0.92</v>
      </c>
      <c r="S183" s="2">
        <v>-1.4</v>
      </c>
      <c r="T183" s="2">
        <v>1.34</v>
      </c>
      <c r="U183" s="2">
        <v>2.52</v>
      </c>
      <c r="V183" s="2">
        <v>6.0</v>
      </c>
    </row>
    <row r="184">
      <c r="A184" s="2" t="s">
        <v>970</v>
      </c>
      <c r="B184" s="2" t="s">
        <v>103</v>
      </c>
      <c r="C184" s="2">
        <v>29.96</v>
      </c>
      <c r="D184" s="2">
        <v>0.763846</v>
      </c>
      <c r="E184" s="2" t="s">
        <v>76</v>
      </c>
      <c r="F184" s="2">
        <v>10237.8</v>
      </c>
      <c r="G184" s="2">
        <v>0.45</v>
      </c>
      <c r="H184" s="2">
        <v>0.74</v>
      </c>
      <c r="I184" s="2">
        <v>0.12</v>
      </c>
      <c r="J184" s="2">
        <v>2.13</v>
      </c>
      <c r="K184" s="2">
        <v>0.09</v>
      </c>
      <c r="L184" s="2">
        <v>3.57</v>
      </c>
      <c r="M184" s="2">
        <v>0.14</v>
      </c>
      <c r="N184" s="2">
        <v>0.57</v>
      </c>
      <c r="O184" s="2">
        <v>1.79</v>
      </c>
      <c r="P184" s="2">
        <v>0.24</v>
      </c>
      <c r="Q184" s="2">
        <v>0.04</v>
      </c>
      <c r="R184" s="2">
        <v>2.78</v>
      </c>
      <c r="S184" s="2">
        <v>-0.79</v>
      </c>
      <c r="T184" s="2">
        <v>2.06</v>
      </c>
      <c r="U184" s="2">
        <v>1.28</v>
      </c>
      <c r="V184" s="2">
        <v>5.0</v>
      </c>
    </row>
    <row r="185">
      <c r="A185" s="2" t="s">
        <v>977</v>
      </c>
      <c r="B185" s="2" t="s">
        <v>134</v>
      </c>
      <c r="C185" s="2">
        <v>90.8</v>
      </c>
      <c r="D185" s="2">
        <v>0.66</v>
      </c>
      <c r="E185" s="2" t="s">
        <v>175</v>
      </c>
      <c r="F185" s="2">
        <v>1532.31</v>
      </c>
      <c r="G185" s="2">
        <v>0.5</v>
      </c>
      <c r="H185" s="2">
        <v>0.01</v>
      </c>
      <c r="I185" s="2">
        <v>0.19</v>
      </c>
      <c r="J185" s="2">
        <v>0.79</v>
      </c>
      <c r="K185" s="2">
        <v>0.05</v>
      </c>
      <c r="L185" s="2">
        <v>1.65</v>
      </c>
      <c r="M185" s="2">
        <v>0.55</v>
      </c>
      <c r="N185" s="2">
        <v>0.01</v>
      </c>
      <c r="O185" s="2">
        <v>0.17</v>
      </c>
      <c r="P185" s="2">
        <v>0.16</v>
      </c>
      <c r="Q185" s="2">
        <v>0.1</v>
      </c>
      <c r="R185" s="2">
        <v>1.0</v>
      </c>
      <c r="S185" s="2">
        <v>-0.65</v>
      </c>
      <c r="T185" s="2">
        <v>0.95</v>
      </c>
      <c r="U185" s="2">
        <v>1.66</v>
      </c>
      <c r="V185" s="2">
        <v>6.0</v>
      </c>
    </row>
    <row r="186">
      <c r="A186" s="2" t="s">
        <v>981</v>
      </c>
      <c r="B186" s="2" t="s">
        <v>134</v>
      </c>
      <c r="C186" s="2">
        <v>0.01</v>
      </c>
      <c r="D186" s="2" t="s">
        <v>106</v>
      </c>
      <c r="E186" s="2" t="s">
        <v>129</v>
      </c>
      <c r="F186" s="2" t="s">
        <v>106</v>
      </c>
      <c r="G186" s="2" t="s">
        <v>106</v>
      </c>
      <c r="H186" s="2" t="s">
        <v>106</v>
      </c>
      <c r="I186" s="2" t="s">
        <v>106</v>
      </c>
      <c r="J186" s="2" t="s">
        <v>106</v>
      </c>
      <c r="K186" s="2" t="s">
        <v>106</v>
      </c>
      <c r="L186" s="2">
        <v>2.07</v>
      </c>
      <c r="M186" s="2" t="s">
        <v>106</v>
      </c>
      <c r="N186" s="2" t="s">
        <v>106</v>
      </c>
      <c r="O186" s="2" t="s">
        <v>106</v>
      </c>
      <c r="P186" s="2" t="s">
        <v>106</v>
      </c>
      <c r="Q186" s="2" t="s">
        <v>106</v>
      </c>
      <c r="R186" s="2">
        <v>1.51</v>
      </c>
      <c r="S186" s="2">
        <v>-0.56</v>
      </c>
      <c r="T186" s="2">
        <v>1.19</v>
      </c>
      <c r="U186" s="2">
        <v>1.37</v>
      </c>
      <c r="V186" s="2" t="s">
        <v>210</v>
      </c>
    </row>
    <row r="187">
      <c r="A187" s="2" t="s">
        <v>982</v>
      </c>
      <c r="B187" s="2" t="s">
        <v>33</v>
      </c>
      <c r="C187" s="2">
        <v>23.85</v>
      </c>
      <c r="D187" s="2">
        <v>0.5</v>
      </c>
      <c r="E187" s="2" t="s">
        <v>55</v>
      </c>
      <c r="F187" s="2">
        <v>1302.3</v>
      </c>
      <c r="G187" s="2">
        <v>0.34</v>
      </c>
      <c r="H187" s="2">
        <v>0.14</v>
      </c>
      <c r="I187" s="2">
        <v>0.04</v>
      </c>
      <c r="J187" s="2">
        <v>0.42</v>
      </c>
      <c r="K187" s="2">
        <v>0.04</v>
      </c>
      <c r="L187" s="2">
        <v>1.03</v>
      </c>
      <c r="M187" s="2">
        <v>0.09</v>
      </c>
      <c r="N187" s="2">
        <v>0.12</v>
      </c>
      <c r="O187" s="2">
        <v>0.04</v>
      </c>
      <c r="P187" s="2">
        <v>0.2</v>
      </c>
      <c r="Q187" s="2">
        <v>0.04</v>
      </c>
      <c r="R187" s="2">
        <v>0.5</v>
      </c>
      <c r="S187" s="2">
        <v>-0.53</v>
      </c>
      <c r="T187" s="2">
        <v>0.59</v>
      </c>
      <c r="U187" s="2">
        <v>2.06</v>
      </c>
      <c r="V187" s="2">
        <v>5.0</v>
      </c>
    </row>
    <row r="188">
      <c r="A188" s="2" t="s">
        <v>985</v>
      </c>
      <c r="B188" s="2" t="s">
        <v>73</v>
      </c>
      <c r="C188" s="2">
        <v>14.08</v>
      </c>
      <c r="D188" s="2">
        <v>0.58</v>
      </c>
      <c r="E188" s="2" t="s">
        <v>175</v>
      </c>
      <c r="F188" s="2">
        <v>1740.64</v>
      </c>
      <c r="G188" s="2">
        <v>0.19</v>
      </c>
      <c r="H188" s="2">
        <v>0.18</v>
      </c>
      <c r="I188" s="2">
        <v>0.33</v>
      </c>
      <c r="J188" s="2">
        <v>0.24</v>
      </c>
      <c r="K188" s="2">
        <v>0.01</v>
      </c>
      <c r="L188" s="2">
        <v>0.99</v>
      </c>
      <c r="M188" s="2">
        <v>0.24</v>
      </c>
      <c r="N188" s="2">
        <v>0.94</v>
      </c>
      <c r="O188" s="2">
        <v>0.99</v>
      </c>
      <c r="P188" s="2">
        <v>0.02</v>
      </c>
      <c r="Q188" s="2">
        <v>0.04</v>
      </c>
      <c r="R188" s="2">
        <v>2.23</v>
      </c>
      <c r="S188" s="2">
        <v>1.24</v>
      </c>
      <c r="T188" s="2">
        <v>0.57</v>
      </c>
      <c r="U188" s="2">
        <v>0.44</v>
      </c>
      <c r="V188" s="2">
        <v>6.0</v>
      </c>
    </row>
    <row r="189">
      <c r="A189" s="2" t="s">
        <v>988</v>
      </c>
      <c r="B189" s="2" t="s">
        <v>73</v>
      </c>
      <c r="C189" s="2">
        <v>13.72</v>
      </c>
      <c r="D189" s="2">
        <v>0.49</v>
      </c>
      <c r="E189" s="2" t="s">
        <v>55</v>
      </c>
      <c r="F189" s="2">
        <v>865.91</v>
      </c>
      <c r="G189" s="2">
        <v>0.2</v>
      </c>
      <c r="H189" s="2">
        <v>0.32</v>
      </c>
      <c r="I189" s="2">
        <v>0.29</v>
      </c>
      <c r="J189" s="2">
        <v>0.53</v>
      </c>
      <c r="K189" s="2">
        <v>0.01</v>
      </c>
      <c r="L189" s="2">
        <v>1.37</v>
      </c>
      <c r="M189" s="2">
        <v>0.15</v>
      </c>
      <c r="N189" s="2">
        <v>0.32</v>
      </c>
      <c r="O189" s="2">
        <v>0.12</v>
      </c>
      <c r="P189" s="2">
        <v>0.01</v>
      </c>
      <c r="Q189" s="2">
        <v>0.02</v>
      </c>
      <c r="R189" s="2">
        <v>0.62</v>
      </c>
      <c r="S189" s="2">
        <v>-0.75</v>
      </c>
      <c r="T189" s="2">
        <v>0.79</v>
      </c>
      <c r="U189" s="2">
        <v>2.2</v>
      </c>
      <c r="V189" s="2">
        <v>6.0</v>
      </c>
    </row>
    <row r="190">
      <c r="R190" s="10" t="s">
        <v>23</v>
      </c>
    </row>
    <row r="191">
      <c r="R191" s="2">
        <v>0.5</v>
      </c>
    </row>
    <row r="192">
      <c r="R192" s="2">
        <v>1.18</v>
      </c>
    </row>
    <row r="193">
      <c r="R193" s="2">
        <v>0.59</v>
      </c>
    </row>
    <row r="194">
      <c r="R194" s="2">
        <v>2.55</v>
      </c>
    </row>
    <row r="195">
      <c r="R195" s="2">
        <v>0.94</v>
      </c>
    </row>
    <row r="196">
      <c r="R196" s="2">
        <v>6.92</v>
      </c>
    </row>
    <row r="197">
      <c r="R197" s="2">
        <v>0.89</v>
      </c>
    </row>
    <row r="198">
      <c r="R198" s="2">
        <v>0.57</v>
      </c>
    </row>
    <row r="199">
      <c r="R199" s="2">
        <v>16.57</v>
      </c>
    </row>
    <row r="200">
      <c r="R200" s="2">
        <v>3.07</v>
      </c>
    </row>
    <row r="201">
      <c r="R201" s="2">
        <v>0.85</v>
      </c>
    </row>
    <row r="202">
      <c r="R202" s="2">
        <v>9.55</v>
      </c>
    </row>
    <row r="203">
      <c r="R203" s="2">
        <v>0.58</v>
      </c>
    </row>
    <row r="204">
      <c r="R204" s="2">
        <v>0.38</v>
      </c>
    </row>
    <row r="205">
      <c r="R205" s="2">
        <v>0.19</v>
      </c>
    </row>
    <row r="206">
      <c r="R206" s="2">
        <v>3.64</v>
      </c>
    </row>
    <row r="207">
      <c r="R207" s="2">
        <v>1.19</v>
      </c>
    </row>
    <row r="208">
      <c r="R208" s="2">
        <v>0.88</v>
      </c>
    </row>
    <row r="209">
      <c r="R209" s="2">
        <v>0.13</v>
      </c>
    </row>
    <row r="210">
      <c r="R210" s="2">
        <v>5.27</v>
      </c>
    </row>
    <row r="211">
      <c r="R211" s="2">
        <v>16.73</v>
      </c>
    </row>
    <row r="212">
      <c r="R212" s="2">
        <v>1.63</v>
      </c>
    </row>
    <row r="213">
      <c r="R213" s="2">
        <v>3.47</v>
      </c>
    </row>
    <row r="214">
      <c r="R214" s="2">
        <v>9.08</v>
      </c>
    </row>
    <row r="215">
      <c r="R215" s="2">
        <v>2.05</v>
      </c>
    </row>
    <row r="216">
      <c r="R216" s="2">
        <v>2.87</v>
      </c>
    </row>
    <row r="217">
      <c r="R217" s="2">
        <v>2.86</v>
      </c>
    </row>
    <row r="218">
      <c r="R218" s="2">
        <v>0.98</v>
      </c>
    </row>
    <row r="219">
      <c r="R219" s="2">
        <v>0.32</v>
      </c>
    </row>
    <row r="220">
      <c r="R220" s="2">
        <v>0.62</v>
      </c>
    </row>
    <row r="221">
      <c r="R221" s="2">
        <v>1.09</v>
      </c>
    </row>
    <row r="222">
      <c r="R222" s="2">
        <v>1.69</v>
      </c>
    </row>
    <row r="223">
      <c r="R223" s="2">
        <v>16.01</v>
      </c>
    </row>
    <row r="224">
      <c r="R224" s="2">
        <v>0.32</v>
      </c>
    </row>
    <row r="225">
      <c r="R225" s="2">
        <v>7.87</v>
      </c>
    </row>
    <row r="226">
      <c r="R226" s="2">
        <v>2.03</v>
      </c>
    </row>
    <row r="227">
      <c r="R227" s="2">
        <v>3.63</v>
      </c>
    </row>
    <row r="228">
      <c r="R228" s="2">
        <v>0.94</v>
      </c>
    </row>
    <row r="229">
      <c r="R229" s="2">
        <v>3.6</v>
      </c>
    </row>
    <row r="230">
      <c r="R230" s="2">
        <v>0.32</v>
      </c>
    </row>
    <row r="231">
      <c r="R231" s="2">
        <v>10.91</v>
      </c>
    </row>
    <row r="232">
      <c r="R232" s="2">
        <v>3.07</v>
      </c>
    </row>
    <row r="233">
      <c r="R233" s="2">
        <v>1.53</v>
      </c>
    </row>
    <row r="234">
      <c r="R234" s="2">
        <v>1.78</v>
      </c>
    </row>
    <row r="235">
      <c r="R235" s="2">
        <v>2.8</v>
      </c>
    </row>
    <row r="236">
      <c r="R236" s="2">
        <v>0.76</v>
      </c>
    </row>
    <row r="237">
      <c r="R237" s="2">
        <v>0.34</v>
      </c>
    </row>
    <row r="238">
      <c r="R238" s="2">
        <v>2.46</v>
      </c>
    </row>
    <row r="239">
      <c r="R239" s="2">
        <v>4.78</v>
      </c>
    </row>
    <row r="240">
      <c r="R240" s="2">
        <v>0.77</v>
      </c>
    </row>
    <row r="241">
      <c r="R241" s="2">
        <v>1.03</v>
      </c>
    </row>
    <row r="242">
      <c r="R242" s="2">
        <v>0.56</v>
      </c>
    </row>
    <row r="243">
      <c r="R243" s="2">
        <v>2.2</v>
      </c>
    </row>
    <row r="244">
      <c r="R244" s="2">
        <v>0.56</v>
      </c>
    </row>
    <row r="245">
      <c r="R245" s="2">
        <v>0.61</v>
      </c>
    </row>
    <row r="246">
      <c r="R246" s="2">
        <v>4.4</v>
      </c>
    </row>
    <row r="247">
      <c r="R247" s="2">
        <v>1.3</v>
      </c>
    </row>
    <row r="248">
      <c r="R248" s="2">
        <v>10.53</v>
      </c>
    </row>
    <row r="249">
      <c r="R249" s="2">
        <v>0.58</v>
      </c>
    </row>
    <row r="250">
      <c r="R250" s="2">
        <v>2.37</v>
      </c>
    </row>
    <row r="251">
      <c r="R251" s="2">
        <v>13.44</v>
      </c>
    </row>
    <row r="252">
      <c r="R252" s="2">
        <v>3.11</v>
      </c>
    </row>
    <row r="253">
      <c r="R253" s="2">
        <v>111.35</v>
      </c>
    </row>
    <row r="254">
      <c r="R254" s="2">
        <v>1.37</v>
      </c>
    </row>
    <row r="255">
      <c r="R255" s="2">
        <v>26.31</v>
      </c>
    </row>
    <row r="256">
      <c r="R256" s="2">
        <v>0.82</v>
      </c>
    </row>
    <row r="257">
      <c r="R257" s="2">
        <v>1.17</v>
      </c>
    </row>
    <row r="258">
      <c r="R258" s="2">
        <v>2.27</v>
      </c>
    </row>
    <row r="259">
      <c r="R259" s="2">
        <v>1.35</v>
      </c>
    </row>
    <row r="260">
      <c r="R260" s="2">
        <v>1.61</v>
      </c>
    </row>
    <row r="261">
      <c r="R261" s="2">
        <v>1.96</v>
      </c>
    </row>
    <row r="262">
      <c r="R262" s="2">
        <v>0.45</v>
      </c>
    </row>
    <row r="263">
      <c r="R263" s="2">
        <v>0.99</v>
      </c>
    </row>
    <row r="264">
      <c r="R264" s="2">
        <v>2.09</v>
      </c>
    </row>
    <row r="265">
      <c r="R265" s="2">
        <v>3.03</v>
      </c>
    </row>
    <row r="266">
      <c r="R266" s="2">
        <v>66.58</v>
      </c>
    </row>
    <row r="267">
      <c r="R267" s="2">
        <v>0.27</v>
      </c>
    </row>
    <row r="268">
      <c r="R268" s="2">
        <v>1.77</v>
      </c>
    </row>
    <row r="269">
      <c r="R269" s="2">
        <v>2.17</v>
      </c>
    </row>
    <row r="270">
      <c r="R270" s="2">
        <v>0.45</v>
      </c>
    </row>
    <row r="271">
      <c r="R271" s="2">
        <v>1.26</v>
      </c>
    </row>
    <row r="272">
      <c r="R272" s="2">
        <v>0.9</v>
      </c>
    </row>
    <row r="273">
      <c r="R273" s="2">
        <v>0.29</v>
      </c>
    </row>
    <row r="274">
      <c r="R274" s="2">
        <v>3.73</v>
      </c>
    </row>
    <row r="275">
      <c r="R275" s="2">
        <v>0.35</v>
      </c>
    </row>
    <row r="276">
      <c r="R276" s="2">
        <v>1.08</v>
      </c>
    </row>
    <row r="277">
      <c r="R277" s="2">
        <v>0.43</v>
      </c>
    </row>
    <row r="278">
      <c r="R278" s="2">
        <v>0.72</v>
      </c>
    </row>
    <row r="279">
      <c r="R279" s="2">
        <v>0.21</v>
      </c>
    </row>
    <row r="280">
      <c r="R280" s="2">
        <v>3.41</v>
      </c>
    </row>
    <row r="281">
      <c r="R281" s="2">
        <v>0.51</v>
      </c>
    </row>
    <row r="282">
      <c r="R282" s="2">
        <v>0.6</v>
      </c>
    </row>
    <row r="283">
      <c r="R283" s="2">
        <v>0.68</v>
      </c>
    </row>
    <row r="284">
      <c r="R284" s="2">
        <v>0.55</v>
      </c>
    </row>
    <row r="285">
      <c r="R285" s="2">
        <v>1.3</v>
      </c>
    </row>
    <row r="286">
      <c r="R286" s="2">
        <v>1.62</v>
      </c>
    </row>
    <row r="287">
      <c r="R287" s="2">
        <v>9.55</v>
      </c>
    </row>
    <row r="288">
      <c r="R288" s="2">
        <v>0.33</v>
      </c>
    </row>
    <row r="289">
      <c r="R289" s="2">
        <v>0.78</v>
      </c>
    </row>
    <row r="290">
      <c r="R290" s="2">
        <v>2.57</v>
      </c>
    </row>
    <row r="291">
      <c r="R291" s="2">
        <v>0.7</v>
      </c>
    </row>
    <row r="292">
      <c r="R292" s="2">
        <v>5.67</v>
      </c>
    </row>
    <row r="293">
      <c r="R293" s="2">
        <v>1.68</v>
      </c>
    </row>
    <row r="294">
      <c r="R294" s="2">
        <v>1.51</v>
      </c>
    </row>
    <row r="295">
      <c r="R295" s="2">
        <v>2.63</v>
      </c>
    </row>
    <row r="296">
      <c r="R296" s="2">
        <v>0.66</v>
      </c>
    </row>
    <row r="297">
      <c r="R297" s="2">
        <v>2.41</v>
      </c>
    </row>
    <row r="298">
      <c r="R298" s="2">
        <v>1.58</v>
      </c>
    </row>
    <row r="299">
      <c r="R299" s="2">
        <v>0.39</v>
      </c>
    </row>
    <row r="300">
      <c r="R300" s="2">
        <v>4.48</v>
      </c>
    </row>
    <row r="301">
      <c r="R301" s="2">
        <v>0.71</v>
      </c>
    </row>
    <row r="302">
      <c r="R302" s="2">
        <v>1.27</v>
      </c>
    </row>
    <row r="303">
      <c r="R303" s="2">
        <v>0.8</v>
      </c>
    </row>
    <row r="304">
      <c r="R304" s="2">
        <v>15.66</v>
      </c>
    </row>
    <row r="305">
      <c r="R305" s="2">
        <v>3.24</v>
      </c>
    </row>
    <row r="306">
      <c r="R306" s="2">
        <v>1.36</v>
      </c>
    </row>
    <row r="307">
      <c r="R307" s="2">
        <v>0.71</v>
      </c>
    </row>
    <row r="308">
      <c r="R308" s="2">
        <v>2.06</v>
      </c>
    </row>
    <row r="309">
      <c r="R309" s="2">
        <v>1.84</v>
      </c>
    </row>
    <row r="310">
      <c r="R310" s="2">
        <v>6.88</v>
      </c>
    </row>
    <row r="311">
      <c r="R311" s="2">
        <v>0.19</v>
      </c>
    </row>
    <row r="312">
      <c r="R312" s="2">
        <v>0.59</v>
      </c>
    </row>
    <row r="313">
      <c r="R313" s="2">
        <v>1.17</v>
      </c>
    </row>
    <row r="314">
      <c r="R314" s="2">
        <v>7.67</v>
      </c>
    </row>
    <row r="315">
      <c r="R315" s="2">
        <v>10.14</v>
      </c>
    </row>
    <row r="316">
      <c r="R316" s="2">
        <v>2.25</v>
      </c>
    </row>
    <row r="317">
      <c r="R317" s="2">
        <v>1.24</v>
      </c>
    </row>
    <row r="318">
      <c r="R318" s="2">
        <v>0.7</v>
      </c>
    </row>
    <row r="319">
      <c r="R319" s="2">
        <v>8.18</v>
      </c>
    </row>
    <row r="320">
      <c r="R320" s="2">
        <v>1.92</v>
      </c>
    </row>
    <row r="321">
      <c r="R321" s="2">
        <v>0.35</v>
      </c>
    </row>
    <row r="322">
      <c r="R322" s="2">
        <v>2.94</v>
      </c>
    </row>
    <row r="323">
      <c r="R323" s="2">
        <v>3.92</v>
      </c>
    </row>
    <row r="324">
      <c r="R324" s="2">
        <v>10.52</v>
      </c>
    </row>
    <row r="325">
      <c r="R325" s="2">
        <v>3.97</v>
      </c>
    </row>
    <row r="326">
      <c r="R326" s="2">
        <v>0.54</v>
      </c>
    </row>
    <row r="327">
      <c r="R327" s="2">
        <v>2.08</v>
      </c>
    </row>
    <row r="328">
      <c r="R328" s="2">
        <v>1.51</v>
      </c>
    </row>
    <row r="329">
      <c r="R329" s="2">
        <v>1.24</v>
      </c>
    </row>
    <row r="330">
      <c r="R330" s="2">
        <v>0.18</v>
      </c>
    </row>
    <row r="331">
      <c r="R331" s="2">
        <v>2.32</v>
      </c>
    </row>
    <row r="332">
      <c r="R332" s="2">
        <v>6.79</v>
      </c>
    </row>
    <row r="333">
      <c r="R333" s="2">
        <v>0.54</v>
      </c>
    </row>
    <row r="334">
      <c r="R334" s="2">
        <v>0.62</v>
      </c>
    </row>
    <row r="335">
      <c r="R335" s="2">
        <v>0.34</v>
      </c>
    </row>
    <row r="336">
      <c r="R336" s="2">
        <v>1.26</v>
      </c>
    </row>
    <row r="337">
      <c r="R337" s="2">
        <v>1.93</v>
      </c>
    </row>
    <row r="338">
      <c r="R338" s="2">
        <v>0.87</v>
      </c>
    </row>
    <row r="339">
      <c r="R339" s="2">
        <v>0.5</v>
      </c>
    </row>
    <row r="340">
      <c r="R340" s="2">
        <v>1.05</v>
      </c>
    </row>
    <row r="341">
      <c r="R341" s="2">
        <v>1.25</v>
      </c>
    </row>
    <row r="342">
      <c r="R342" s="2">
        <v>1.24</v>
      </c>
    </row>
    <row r="343">
      <c r="R343" s="2">
        <v>0.05</v>
      </c>
    </row>
    <row r="344">
      <c r="R344" s="2">
        <v>2.71</v>
      </c>
    </row>
    <row r="345">
      <c r="R345" s="2">
        <v>2.35</v>
      </c>
    </row>
    <row r="346">
      <c r="R346" s="2">
        <v>4.36</v>
      </c>
    </row>
    <row r="347">
      <c r="R347" s="2">
        <v>1.27</v>
      </c>
    </row>
    <row r="348">
      <c r="R348" s="2">
        <v>1.15</v>
      </c>
    </row>
    <row r="349">
      <c r="R349" s="2">
        <v>1.25</v>
      </c>
    </row>
    <row r="350">
      <c r="R350" s="2">
        <v>0.44</v>
      </c>
    </row>
    <row r="351">
      <c r="R351" s="2">
        <v>89.33</v>
      </c>
    </row>
    <row r="352">
      <c r="R352" s="2">
        <v>0.88</v>
      </c>
    </row>
    <row r="353">
      <c r="R353" s="2">
        <v>10.62</v>
      </c>
    </row>
    <row r="354">
      <c r="R354" s="2">
        <v>1.3</v>
      </c>
    </row>
    <row r="355">
      <c r="R355" s="2">
        <v>0.6</v>
      </c>
    </row>
    <row r="356">
      <c r="R356" s="2">
        <v>0.53</v>
      </c>
    </row>
    <row r="357">
      <c r="R357" s="2">
        <v>1.08</v>
      </c>
    </row>
    <row r="358">
      <c r="R358" s="2">
        <v>1.24</v>
      </c>
    </row>
    <row r="359">
      <c r="R359" s="2">
        <v>1.78</v>
      </c>
    </row>
    <row r="360">
      <c r="R360" s="2">
        <v>0.53</v>
      </c>
    </row>
    <row r="361">
      <c r="R361" s="2">
        <v>1.48</v>
      </c>
    </row>
    <row r="362">
      <c r="R362" s="2">
        <v>1.56</v>
      </c>
    </row>
    <row r="363">
      <c r="R363" s="2">
        <v>0.93</v>
      </c>
    </row>
    <row r="364">
      <c r="R364" s="2">
        <v>1.52</v>
      </c>
    </row>
    <row r="365">
      <c r="R365" s="2">
        <v>2.79</v>
      </c>
    </row>
    <row r="366">
      <c r="R366" s="2">
        <v>0.59</v>
      </c>
    </row>
    <row r="367">
      <c r="R367" s="2">
        <v>2.27</v>
      </c>
    </row>
    <row r="368">
      <c r="R368" s="2">
        <v>1.32</v>
      </c>
    </row>
    <row r="369">
      <c r="R369" s="2">
        <v>0.56</v>
      </c>
    </row>
    <row r="370">
      <c r="R370" s="2">
        <v>3.76</v>
      </c>
    </row>
    <row r="371">
      <c r="R371" s="2">
        <v>10.32</v>
      </c>
    </row>
    <row r="372">
      <c r="R372" s="2">
        <v>0.92</v>
      </c>
    </row>
    <row r="373">
      <c r="R373" s="2">
        <v>2.78</v>
      </c>
    </row>
    <row r="374">
      <c r="R374" s="2">
        <v>1.0</v>
      </c>
    </row>
    <row r="375">
      <c r="R375" s="2">
        <v>1.51</v>
      </c>
    </row>
    <row r="376">
      <c r="R376" s="2">
        <v>0.5</v>
      </c>
    </row>
    <row r="377">
      <c r="R377" s="2">
        <v>2.23</v>
      </c>
    </row>
    <row r="378">
      <c r="R378" s="2">
        <v>0.62</v>
      </c>
    </row>
    <row r="379">
      <c r="R379" s="10" t="s">
        <v>23</v>
      </c>
    </row>
    <row r="380">
      <c r="R380" s="2">
        <v>0.5</v>
      </c>
    </row>
    <row r="381">
      <c r="R381" s="2">
        <v>1.18</v>
      </c>
    </row>
    <row r="382">
      <c r="R382" s="2">
        <v>0.59</v>
      </c>
    </row>
    <row r="383">
      <c r="R383" s="2">
        <v>2.55</v>
      </c>
    </row>
    <row r="384">
      <c r="R384" s="2">
        <v>0.94</v>
      </c>
    </row>
    <row r="385">
      <c r="R385" s="2">
        <v>6.92</v>
      </c>
    </row>
    <row r="386">
      <c r="R386" s="2">
        <v>0.89</v>
      </c>
    </row>
    <row r="387">
      <c r="R387" s="2">
        <v>0.57</v>
      </c>
    </row>
    <row r="388">
      <c r="R388" s="2">
        <v>16.57</v>
      </c>
    </row>
    <row r="389">
      <c r="R389" s="2">
        <v>3.07</v>
      </c>
    </row>
    <row r="390">
      <c r="R390" s="2">
        <v>0.85</v>
      </c>
    </row>
    <row r="391">
      <c r="R391" s="2">
        <v>9.55</v>
      </c>
    </row>
    <row r="392">
      <c r="R392" s="2">
        <v>0.58</v>
      </c>
    </row>
    <row r="393">
      <c r="R393" s="2">
        <v>0.38</v>
      </c>
    </row>
    <row r="394">
      <c r="R394" s="2">
        <v>0.19</v>
      </c>
    </row>
    <row r="395">
      <c r="R395" s="2">
        <v>3.64</v>
      </c>
    </row>
    <row r="396">
      <c r="R396" s="2">
        <v>1.19</v>
      </c>
    </row>
    <row r="397">
      <c r="R397" s="2">
        <v>0.88</v>
      </c>
    </row>
    <row r="398">
      <c r="R398" s="2">
        <v>0.13</v>
      </c>
    </row>
    <row r="399">
      <c r="R399" s="2">
        <v>5.27</v>
      </c>
    </row>
    <row r="400">
      <c r="R400" s="2">
        <v>16.73</v>
      </c>
    </row>
    <row r="401">
      <c r="R401" s="2">
        <v>1.63</v>
      </c>
    </row>
    <row r="402">
      <c r="R402" s="2">
        <v>3.47</v>
      </c>
    </row>
    <row r="403">
      <c r="R403" s="2">
        <v>9.08</v>
      </c>
    </row>
    <row r="404">
      <c r="R404" s="2">
        <v>2.05</v>
      </c>
    </row>
    <row r="405">
      <c r="R405" s="2">
        <v>2.87</v>
      </c>
    </row>
    <row r="406">
      <c r="R406" s="2">
        <v>2.86</v>
      </c>
    </row>
    <row r="407">
      <c r="R407" s="2">
        <v>0.98</v>
      </c>
    </row>
    <row r="408">
      <c r="R408" s="2">
        <v>0.32</v>
      </c>
    </row>
    <row r="409">
      <c r="R409" s="2">
        <v>0.62</v>
      </c>
    </row>
    <row r="410">
      <c r="R410" s="2">
        <v>1.09</v>
      </c>
    </row>
    <row r="411">
      <c r="R411" s="2">
        <v>1.69</v>
      </c>
    </row>
    <row r="412">
      <c r="R412" s="2">
        <v>16.01</v>
      </c>
    </row>
    <row r="413">
      <c r="R413" s="2">
        <v>0.32</v>
      </c>
    </row>
    <row r="414">
      <c r="R414" s="2">
        <v>7.87</v>
      </c>
    </row>
    <row r="415">
      <c r="R415" s="2">
        <v>2.03</v>
      </c>
    </row>
    <row r="416">
      <c r="R416" s="2">
        <v>3.63</v>
      </c>
    </row>
    <row r="417">
      <c r="R417" s="2">
        <v>0.94</v>
      </c>
    </row>
    <row r="418">
      <c r="R418" s="2">
        <v>3.6</v>
      </c>
    </row>
    <row r="419">
      <c r="R419" s="2">
        <v>0.32</v>
      </c>
    </row>
    <row r="420">
      <c r="R420" s="2">
        <v>10.91</v>
      </c>
    </row>
    <row r="421">
      <c r="R421" s="2">
        <v>3.07</v>
      </c>
    </row>
    <row r="422">
      <c r="R422" s="2">
        <v>1.53</v>
      </c>
    </row>
    <row r="423">
      <c r="R423" s="2">
        <v>1.78</v>
      </c>
    </row>
    <row r="424">
      <c r="R424" s="2">
        <v>2.8</v>
      </c>
    </row>
    <row r="425">
      <c r="R425" s="2">
        <v>0.76</v>
      </c>
    </row>
    <row r="426">
      <c r="R426" s="2">
        <v>0.34</v>
      </c>
    </row>
    <row r="427">
      <c r="R427" s="2">
        <v>2.46</v>
      </c>
    </row>
    <row r="428">
      <c r="R428" s="2">
        <v>4.78</v>
      </c>
    </row>
    <row r="429">
      <c r="R429" s="2">
        <v>0.77</v>
      </c>
    </row>
    <row r="430">
      <c r="R430" s="2">
        <v>1.03</v>
      </c>
    </row>
    <row r="431">
      <c r="R431" s="2">
        <v>0.56</v>
      </c>
    </row>
    <row r="432">
      <c r="R432" s="2">
        <v>2.2</v>
      </c>
    </row>
    <row r="433">
      <c r="R433" s="2">
        <v>0.56</v>
      </c>
    </row>
    <row r="434">
      <c r="R434" s="2">
        <v>0.61</v>
      </c>
    </row>
    <row r="435">
      <c r="R435" s="2">
        <v>4.4</v>
      </c>
    </row>
    <row r="436">
      <c r="R436" s="2">
        <v>1.3</v>
      </c>
    </row>
    <row r="437">
      <c r="R437" s="2">
        <v>10.53</v>
      </c>
    </row>
    <row r="438">
      <c r="R438" s="2">
        <v>0.58</v>
      </c>
    </row>
    <row r="439">
      <c r="R439" s="2">
        <v>2.37</v>
      </c>
    </row>
    <row r="440">
      <c r="R440" s="2">
        <v>13.44</v>
      </c>
    </row>
    <row r="441">
      <c r="R441" s="2">
        <v>3.11</v>
      </c>
    </row>
    <row r="442">
      <c r="R442" s="2">
        <v>111.35</v>
      </c>
    </row>
    <row r="443">
      <c r="R443" s="2">
        <v>1.37</v>
      </c>
    </row>
    <row r="444">
      <c r="R444" s="2">
        <v>26.31</v>
      </c>
    </row>
    <row r="445">
      <c r="R445" s="2">
        <v>0.82</v>
      </c>
    </row>
    <row r="446">
      <c r="R446" s="2">
        <v>1.17</v>
      </c>
    </row>
    <row r="447">
      <c r="R447" s="2">
        <v>2.27</v>
      </c>
    </row>
    <row r="448">
      <c r="R448" s="2">
        <v>1.35</v>
      </c>
    </row>
    <row r="449">
      <c r="R449" s="2">
        <v>1.61</v>
      </c>
    </row>
    <row r="450">
      <c r="R450" s="2">
        <v>1.96</v>
      </c>
    </row>
    <row r="451">
      <c r="R451" s="2">
        <v>0.45</v>
      </c>
    </row>
    <row r="452">
      <c r="R452" s="2">
        <v>0.99</v>
      </c>
    </row>
    <row r="453">
      <c r="R453" s="2">
        <v>2.09</v>
      </c>
    </row>
    <row r="454">
      <c r="R454" s="2">
        <v>3.03</v>
      </c>
    </row>
    <row r="455">
      <c r="R455" s="2">
        <v>66.58</v>
      </c>
    </row>
    <row r="456">
      <c r="R456" s="2">
        <v>0.27</v>
      </c>
    </row>
    <row r="457">
      <c r="R457" s="2">
        <v>1.77</v>
      </c>
    </row>
    <row r="458">
      <c r="R458" s="2">
        <v>2.17</v>
      </c>
    </row>
    <row r="459">
      <c r="R459" s="2">
        <v>0.45</v>
      </c>
    </row>
    <row r="460">
      <c r="R460" s="2">
        <v>1.26</v>
      </c>
    </row>
    <row r="461">
      <c r="R461" s="2">
        <v>0.9</v>
      </c>
    </row>
    <row r="462">
      <c r="R462" s="2">
        <v>0.29</v>
      </c>
    </row>
    <row r="463">
      <c r="R463" s="2">
        <v>3.73</v>
      </c>
    </row>
    <row r="464">
      <c r="R464" s="2">
        <v>0.35</v>
      </c>
    </row>
    <row r="465">
      <c r="R465" s="2">
        <v>1.08</v>
      </c>
    </row>
    <row r="466">
      <c r="R466" s="2">
        <v>0.43</v>
      </c>
    </row>
    <row r="467">
      <c r="R467" s="2">
        <v>0.72</v>
      </c>
    </row>
    <row r="468">
      <c r="R468" s="2">
        <v>0.21</v>
      </c>
    </row>
    <row r="469">
      <c r="R469" s="2">
        <v>3.41</v>
      </c>
    </row>
    <row r="470">
      <c r="R470" s="2">
        <v>0.51</v>
      </c>
    </row>
    <row r="471">
      <c r="R471" s="2">
        <v>0.6</v>
      </c>
    </row>
    <row r="472">
      <c r="R472" s="2">
        <v>0.68</v>
      </c>
    </row>
    <row r="473">
      <c r="R473" s="2">
        <v>0.55</v>
      </c>
    </row>
    <row r="474">
      <c r="R474" s="2">
        <v>1.3</v>
      </c>
    </row>
    <row r="475">
      <c r="R475" s="2">
        <v>1.62</v>
      </c>
    </row>
    <row r="476">
      <c r="R476" s="2">
        <v>9.55</v>
      </c>
    </row>
    <row r="477">
      <c r="R477" s="2">
        <v>0.33</v>
      </c>
    </row>
    <row r="478">
      <c r="R478" s="2">
        <v>0.78</v>
      </c>
    </row>
    <row r="479">
      <c r="R479" s="2">
        <v>2.57</v>
      </c>
    </row>
    <row r="480">
      <c r="R480" s="2">
        <v>0.7</v>
      </c>
    </row>
    <row r="481">
      <c r="R481" s="2">
        <v>5.67</v>
      </c>
    </row>
    <row r="482">
      <c r="R482" s="2">
        <v>1.68</v>
      </c>
    </row>
    <row r="483">
      <c r="R483" s="2">
        <v>1.51</v>
      </c>
    </row>
    <row r="484">
      <c r="R484" s="2">
        <v>2.63</v>
      </c>
    </row>
    <row r="485">
      <c r="R485" s="2">
        <v>0.66</v>
      </c>
    </row>
    <row r="486">
      <c r="R486" s="2">
        <v>2.41</v>
      </c>
    </row>
    <row r="487">
      <c r="R487" s="2">
        <v>1.58</v>
      </c>
    </row>
    <row r="488">
      <c r="R488" s="2">
        <v>0.39</v>
      </c>
    </row>
    <row r="489">
      <c r="R489" s="2">
        <v>4.48</v>
      </c>
    </row>
    <row r="490">
      <c r="R490" s="2">
        <v>0.71</v>
      </c>
    </row>
    <row r="491">
      <c r="R491" s="2">
        <v>1.27</v>
      </c>
    </row>
    <row r="492">
      <c r="R492" s="2">
        <v>0.8</v>
      </c>
    </row>
    <row r="493">
      <c r="R493" s="2">
        <v>15.66</v>
      </c>
    </row>
    <row r="494">
      <c r="R494" s="2">
        <v>3.24</v>
      </c>
    </row>
    <row r="495">
      <c r="R495" s="2">
        <v>1.36</v>
      </c>
    </row>
    <row r="496">
      <c r="R496" s="2">
        <v>0.71</v>
      </c>
    </row>
    <row r="497">
      <c r="R497" s="2">
        <v>2.06</v>
      </c>
    </row>
    <row r="498">
      <c r="R498" s="2">
        <v>1.84</v>
      </c>
    </row>
    <row r="499">
      <c r="R499" s="2">
        <v>6.88</v>
      </c>
    </row>
    <row r="500">
      <c r="R500" s="2">
        <v>0.19</v>
      </c>
    </row>
    <row r="501">
      <c r="R501" s="2">
        <v>0.59</v>
      </c>
    </row>
    <row r="502">
      <c r="R502" s="2">
        <v>1.17</v>
      </c>
    </row>
    <row r="503">
      <c r="R503" s="2">
        <v>7.67</v>
      </c>
    </row>
    <row r="504">
      <c r="R504" s="2">
        <v>10.14</v>
      </c>
    </row>
    <row r="505">
      <c r="R505" s="2">
        <v>2.25</v>
      </c>
    </row>
    <row r="506">
      <c r="R506" s="2">
        <v>1.24</v>
      </c>
    </row>
    <row r="507">
      <c r="R507" s="2">
        <v>0.7</v>
      </c>
    </row>
    <row r="508">
      <c r="R508" s="2">
        <v>8.18</v>
      </c>
    </row>
    <row r="509">
      <c r="R509" s="2">
        <v>1.92</v>
      </c>
    </row>
    <row r="510">
      <c r="R510" s="2">
        <v>0.35</v>
      </c>
    </row>
    <row r="511">
      <c r="R511" s="2">
        <v>2.94</v>
      </c>
    </row>
    <row r="512">
      <c r="R512" s="2">
        <v>3.92</v>
      </c>
    </row>
    <row r="513">
      <c r="R513" s="2">
        <v>10.52</v>
      </c>
    </row>
    <row r="514">
      <c r="R514" s="2">
        <v>3.97</v>
      </c>
    </row>
    <row r="515">
      <c r="R515" s="2">
        <v>0.54</v>
      </c>
    </row>
    <row r="516">
      <c r="R516" s="2">
        <v>2.08</v>
      </c>
    </row>
    <row r="517">
      <c r="R517" s="2">
        <v>1.51</v>
      </c>
    </row>
    <row r="518">
      <c r="R518" s="2">
        <v>1.24</v>
      </c>
    </row>
    <row r="519">
      <c r="R519" s="2">
        <v>0.18</v>
      </c>
    </row>
    <row r="520">
      <c r="R520" s="2">
        <v>2.32</v>
      </c>
    </row>
    <row r="521">
      <c r="R521" s="2">
        <v>6.79</v>
      </c>
    </row>
    <row r="522">
      <c r="R522" s="2">
        <v>0.54</v>
      </c>
    </row>
    <row r="523">
      <c r="R523" s="2">
        <v>0.62</v>
      </c>
    </row>
    <row r="524">
      <c r="R524" s="2">
        <v>0.34</v>
      </c>
    </row>
    <row r="525">
      <c r="R525" s="2">
        <v>1.26</v>
      </c>
    </row>
    <row r="526">
      <c r="R526" s="2">
        <v>1.93</v>
      </c>
    </row>
    <row r="527">
      <c r="R527" s="2">
        <v>0.87</v>
      </c>
    </row>
    <row r="528">
      <c r="R528" s="2">
        <v>0.5</v>
      </c>
    </row>
    <row r="529">
      <c r="R529" s="2">
        <v>1.05</v>
      </c>
    </row>
    <row r="530">
      <c r="R530" s="2">
        <v>1.25</v>
      </c>
    </row>
    <row r="531">
      <c r="R531" s="2">
        <v>1.24</v>
      </c>
    </row>
    <row r="532">
      <c r="R532" s="2">
        <v>0.05</v>
      </c>
    </row>
    <row r="533">
      <c r="R533" s="2">
        <v>2.71</v>
      </c>
    </row>
    <row r="534">
      <c r="R534" s="2">
        <v>2.35</v>
      </c>
    </row>
    <row r="535">
      <c r="R535" s="2">
        <v>4.36</v>
      </c>
    </row>
    <row r="536">
      <c r="R536" s="2">
        <v>1.27</v>
      </c>
    </row>
    <row r="537">
      <c r="R537" s="2">
        <v>1.15</v>
      </c>
    </row>
    <row r="538">
      <c r="R538" s="2">
        <v>1.25</v>
      </c>
    </row>
    <row r="539">
      <c r="R539" s="2">
        <v>0.44</v>
      </c>
    </row>
    <row r="540">
      <c r="R540" s="2">
        <v>89.33</v>
      </c>
    </row>
    <row r="541">
      <c r="R541" s="2">
        <v>0.88</v>
      </c>
    </row>
    <row r="542">
      <c r="R542" s="2">
        <v>10.62</v>
      </c>
    </row>
    <row r="543">
      <c r="R543" s="2">
        <v>1.3</v>
      </c>
    </row>
    <row r="544">
      <c r="R544" s="2">
        <v>0.6</v>
      </c>
    </row>
    <row r="545">
      <c r="R545" s="2">
        <v>0.53</v>
      </c>
    </row>
    <row r="546">
      <c r="R546" s="2">
        <v>1.08</v>
      </c>
    </row>
    <row r="547">
      <c r="R547" s="2">
        <v>1.24</v>
      </c>
    </row>
    <row r="548">
      <c r="R548" s="2">
        <v>1.78</v>
      </c>
    </row>
    <row r="549">
      <c r="R549" s="2">
        <v>0.53</v>
      </c>
    </row>
    <row r="550">
      <c r="R550" s="2">
        <v>1.48</v>
      </c>
    </row>
    <row r="551">
      <c r="R551" s="2">
        <v>1.56</v>
      </c>
    </row>
    <row r="552">
      <c r="R552" s="2">
        <v>0.93</v>
      </c>
    </row>
    <row r="553">
      <c r="R553" s="2">
        <v>1.52</v>
      </c>
    </row>
    <row r="554">
      <c r="R554" s="2">
        <v>2.79</v>
      </c>
    </row>
    <row r="555">
      <c r="R555" s="2">
        <v>0.59</v>
      </c>
    </row>
    <row r="556">
      <c r="R556" s="2">
        <v>2.27</v>
      </c>
    </row>
    <row r="557">
      <c r="R557" s="2">
        <v>1.32</v>
      </c>
    </row>
    <row r="558">
      <c r="R558" s="2">
        <v>0.56</v>
      </c>
    </row>
    <row r="559">
      <c r="R559" s="2">
        <v>3.76</v>
      </c>
    </row>
    <row r="560">
      <c r="R560" s="2">
        <v>10.32</v>
      </c>
    </row>
    <row r="561">
      <c r="R561" s="2">
        <v>0.92</v>
      </c>
    </row>
    <row r="562">
      <c r="R562" s="2">
        <v>2.78</v>
      </c>
    </row>
    <row r="563">
      <c r="R563" s="2">
        <v>1.0</v>
      </c>
    </row>
    <row r="564">
      <c r="R564" s="2">
        <v>1.51</v>
      </c>
    </row>
    <row r="565">
      <c r="R565" s="2">
        <v>0.5</v>
      </c>
    </row>
    <row r="566">
      <c r="R566" s="2">
        <v>2.23</v>
      </c>
    </row>
    <row r="567">
      <c r="R567" s="2">
        <v>0.62</v>
      </c>
    </row>
    <row r="568">
      <c r="R568" s="10" t="s">
        <v>23</v>
      </c>
    </row>
    <row r="569">
      <c r="R569" s="2">
        <v>0.5</v>
      </c>
    </row>
    <row r="570">
      <c r="R570" s="2">
        <v>1.18</v>
      </c>
    </row>
    <row r="571">
      <c r="R571" s="2">
        <v>0.59</v>
      </c>
    </row>
    <row r="572">
      <c r="R572" s="2">
        <v>2.55</v>
      </c>
    </row>
    <row r="573">
      <c r="R573" s="2">
        <v>0.94</v>
      </c>
    </row>
    <row r="574">
      <c r="R574" s="2">
        <v>6.92</v>
      </c>
    </row>
    <row r="575">
      <c r="R575" s="2">
        <v>0.89</v>
      </c>
    </row>
    <row r="576">
      <c r="R576" s="2">
        <v>0.57</v>
      </c>
    </row>
    <row r="577">
      <c r="R577" s="2">
        <v>16.57</v>
      </c>
    </row>
    <row r="578">
      <c r="R578" s="2">
        <v>3.07</v>
      </c>
    </row>
    <row r="579">
      <c r="R579" s="2">
        <v>0.85</v>
      </c>
    </row>
    <row r="580">
      <c r="R580" s="2">
        <v>9.55</v>
      </c>
    </row>
    <row r="581">
      <c r="R581" s="2">
        <v>0.58</v>
      </c>
    </row>
    <row r="582">
      <c r="R582" s="2">
        <v>0.38</v>
      </c>
    </row>
    <row r="583">
      <c r="R583" s="2">
        <v>0.19</v>
      </c>
    </row>
    <row r="584">
      <c r="R584" s="2">
        <v>3.64</v>
      </c>
    </row>
    <row r="585">
      <c r="R585" s="2">
        <v>1.19</v>
      </c>
    </row>
    <row r="586">
      <c r="R586" s="2">
        <v>0.88</v>
      </c>
    </row>
    <row r="587">
      <c r="R587" s="2">
        <v>0.13</v>
      </c>
    </row>
    <row r="588">
      <c r="R588" s="2">
        <v>5.27</v>
      </c>
    </row>
    <row r="589">
      <c r="R589" s="2">
        <v>16.73</v>
      </c>
    </row>
    <row r="590">
      <c r="R590" s="2">
        <v>1.63</v>
      </c>
    </row>
    <row r="591">
      <c r="R591" s="2">
        <v>3.47</v>
      </c>
    </row>
    <row r="592">
      <c r="R592" s="2">
        <v>9.08</v>
      </c>
    </row>
    <row r="593">
      <c r="R593" s="2">
        <v>2.05</v>
      </c>
    </row>
    <row r="594">
      <c r="R594" s="2">
        <v>2.87</v>
      </c>
    </row>
    <row r="595">
      <c r="R595" s="2">
        <v>2.86</v>
      </c>
    </row>
    <row r="596">
      <c r="R596" s="2">
        <v>0.98</v>
      </c>
    </row>
    <row r="597">
      <c r="R597" s="2">
        <v>0.32</v>
      </c>
    </row>
    <row r="598">
      <c r="R598" s="2">
        <v>0.62</v>
      </c>
    </row>
    <row r="599">
      <c r="R599" s="2">
        <v>1.09</v>
      </c>
    </row>
    <row r="600">
      <c r="R600" s="2">
        <v>1.69</v>
      </c>
    </row>
    <row r="601">
      <c r="R601" s="2">
        <v>16.01</v>
      </c>
    </row>
    <row r="602">
      <c r="R602" s="2">
        <v>0.32</v>
      </c>
    </row>
    <row r="603">
      <c r="R603" s="2">
        <v>7.87</v>
      </c>
    </row>
    <row r="604">
      <c r="R604" s="2">
        <v>2.03</v>
      </c>
    </row>
    <row r="605">
      <c r="R605" s="2">
        <v>3.63</v>
      </c>
    </row>
    <row r="606">
      <c r="R606" s="2">
        <v>0.94</v>
      </c>
    </row>
    <row r="607">
      <c r="R607" s="2">
        <v>3.6</v>
      </c>
    </row>
    <row r="608">
      <c r="R608" s="2">
        <v>0.32</v>
      </c>
    </row>
    <row r="609">
      <c r="R609" s="2">
        <v>10.91</v>
      </c>
    </row>
    <row r="610">
      <c r="R610" s="2">
        <v>3.07</v>
      </c>
    </row>
    <row r="611">
      <c r="R611" s="2">
        <v>1.53</v>
      </c>
    </row>
    <row r="612">
      <c r="R612" s="2">
        <v>1.78</v>
      </c>
    </row>
    <row r="613">
      <c r="R613" s="2">
        <v>2.8</v>
      </c>
    </row>
    <row r="614">
      <c r="R614" s="2">
        <v>0.76</v>
      </c>
    </row>
    <row r="615">
      <c r="R615" s="2">
        <v>0.34</v>
      </c>
    </row>
    <row r="616">
      <c r="R616" s="2">
        <v>2.46</v>
      </c>
    </row>
    <row r="617">
      <c r="R617" s="2">
        <v>4.78</v>
      </c>
    </row>
    <row r="618">
      <c r="R618" s="2">
        <v>0.77</v>
      </c>
    </row>
    <row r="619">
      <c r="R619" s="2">
        <v>1.03</v>
      </c>
    </row>
    <row r="620">
      <c r="R620" s="2">
        <v>0.56</v>
      </c>
    </row>
    <row r="621">
      <c r="R621" s="2">
        <v>2.2</v>
      </c>
    </row>
    <row r="622">
      <c r="R622" s="2">
        <v>0.56</v>
      </c>
    </row>
    <row r="623">
      <c r="R623" s="2">
        <v>0.61</v>
      </c>
    </row>
    <row r="624">
      <c r="R624" s="2">
        <v>4.4</v>
      </c>
    </row>
    <row r="625">
      <c r="R625" s="2">
        <v>1.3</v>
      </c>
    </row>
    <row r="626">
      <c r="R626" s="2">
        <v>10.53</v>
      </c>
    </row>
    <row r="627">
      <c r="R627" s="2">
        <v>0.58</v>
      </c>
    </row>
    <row r="628">
      <c r="R628" s="2">
        <v>2.37</v>
      </c>
    </row>
    <row r="629">
      <c r="R629" s="2">
        <v>13.44</v>
      </c>
    </row>
    <row r="630">
      <c r="R630" s="2">
        <v>3.11</v>
      </c>
    </row>
    <row r="631">
      <c r="R631" s="2">
        <v>111.35</v>
      </c>
    </row>
    <row r="632">
      <c r="R632" s="2">
        <v>1.37</v>
      </c>
    </row>
    <row r="633">
      <c r="R633" s="2">
        <v>26.31</v>
      </c>
    </row>
    <row r="634">
      <c r="R634" s="2">
        <v>0.82</v>
      </c>
    </row>
    <row r="635">
      <c r="R635" s="2">
        <v>1.17</v>
      </c>
    </row>
    <row r="636">
      <c r="R636" s="2">
        <v>2.27</v>
      </c>
    </row>
    <row r="637">
      <c r="R637" s="2">
        <v>1.35</v>
      </c>
    </row>
    <row r="638">
      <c r="R638" s="2">
        <v>1.61</v>
      </c>
    </row>
    <row r="639">
      <c r="R639" s="2">
        <v>1.96</v>
      </c>
    </row>
    <row r="640">
      <c r="R640" s="2">
        <v>0.45</v>
      </c>
    </row>
    <row r="641">
      <c r="R641" s="2">
        <v>0.99</v>
      </c>
    </row>
    <row r="642">
      <c r="R642" s="2">
        <v>2.09</v>
      </c>
    </row>
    <row r="643">
      <c r="R643" s="2">
        <v>3.03</v>
      </c>
    </row>
    <row r="644">
      <c r="R644" s="2">
        <v>66.58</v>
      </c>
    </row>
    <row r="645">
      <c r="R645" s="2">
        <v>0.27</v>
      </c>
    </row>
    <row r="646">
      <c r="R646" s="2">
        <v>1.77</v>
      </c>
    </row>
    <row r="647">
      <c r="R647" s="2">
        <v>2.17</v>
      </c>
    </row>
    <row r="648">
      <c r="R648" s="2">
        <v>0.45</v>
      </c>
    </row>
    <row r="649">
      <c r="R649" s="2">
        <v>1.26</v>
      </c>
    </row>
    <row r="650">
      <c r="R650" s="2">
        <v>0.9</v>
      </c>
    </row>
    <row r="651">
      <c r="R651" s="2">
        <v>0.29</v>
      </c>
    </row>
    <row r="652">
      <c r="R652" s="2">
        <v>3.73</v>
      </c>
    </row>
    <row r="653">
      <c r="R653" s="2">
        <v>0.35</v>
      </c>
    </row>
    <row r="654">
      <c r="R654" s="2">
        <v>1.08</v>
      </c>
    </row>
    <row r="655">
      <c r="R655" s="2">
        <v>0.43</v>
      </c>
    </row>
    <row r="656">
      <c r="R656" s="2">
        <v>0.72</v>
      </c>
    </row>
    <row r="657">
      <c r="R657" s="2">
        <v>0.21</v>
      </c>
    </row>
    <row r="658">
      <c r="R658" s="2">
        <v>3.41</v>
      </c>
    </row>
    <row r="659">
      <c r="R659" s="2">
        <v>0.51</v>
      </c>
    </row>
    <row r="660">
      <c r="R660" s="2">
        <v>0.6</v>
      </c>
    </row>
    <row r="661">
      <c r="R661" s="2">
        <v>0.68</v>
      </c>
    </row>
    <row r="662">
      <c r="R662" s="2">
        <v>0.55</v>
      </c>
    </row>
    <row r="663">
      <c r="R663" s="2">
        <v>1.3</v>
      </c>
    </row>
    <row r="664">
      <c r="R664" s="2">
        <v>1.62</v>
      </c>
    </row>
    <row r="665">
      <c r="R665" s="2">
        <v>9.55</v>
      </c>
    </row>
    <row r="666">
      <c r="R666" s="2">
        <v>0.33</v>
      </c>
    </row>
    <row r="667">
      <c r="R667" s="2">
        <v>0.78</v>
      </c>
    </row>
    <row r="668">
      <c r="R668" s="2">
        <v>2.57</v>
      </c>
    </row>
    <row r="669">
      <c r="R669" s="2">
        <v>0.7</v>
      </c>
    </row>
    <row r="670">
      <c r="R670" s="2">
        <v>5.67</v>
      </c>
    </row>
    <row r="671">
      <c r="R671" s="2">
        <v>1.68</v>
      </c>
    </row>
    <row r="672">
      <c r="R672" s="2">
        <v>1.51</v>
      </c>
    </row>
    <row r="673">
      <c r="R673" s="2">
        <v>2.63</v>
      </c>
    </row>
    <row r="674">
      <c r="R674" s="2">
        <v>0.66</v>
      </c>
    </row>
    <row r="675">
      <c r="R675" s="2">
        <v>2.41</v>
      </c>
    </row>
    <row r="676">
      <c r="R676" s="2">
        <v>1.58</v>
      </c>
    </row>
    <row r="677">
      <c r="R677" s="2">
        <v>0.39</v>
      </c>
    </row>
    <row r="678">
      <c r="R678" s="2">
        <v>4.48</v>
      </c>
    </row>
    <row r="679">
      <c r="R679" s="2">
        <v>0.71</v>
      </c>
    </row>
    <row r="680">
      <c r="R680" s="2">
        <v>1.27</v>
      </c>
    </row>
    <row r="681">
      <c r="R681" s="2">
        <v>0.8</v>
      </c>
    </row>
    <row r="682">
      <c r="R682" s="2">
        <v>15.66</v>
      </c>
    </row>
    <row r="683">
      <c r="R683" s="2">
        <v>3.24</v>
      </c>
    </row>
    <row r="684">
      <c r="R684" s="2">
        <v>1.36</v>
      </c>
    </row>
    <row r="685">
      <c r="R685" s="2">
        <v>0.71</v>
      </c>
    </row>
    <row r="686">
      <c r="R686" s="2">
        <v>2.06</v>
      </c>
    </row>
    <row r="687">
      <c r="R687" s="2">
        <v>1.84</v>
      </c>
    </row>
    <row r="688">
      <c r="R688" s="2">
        <v>6.88</v>
      </c>
    </row>
    <row r="689">
      <c r="R689" s="2">
        <v>0.19</v>
      </c>
    </row>
    <row r="690">
      <c r="R690" s="2">
        <v>0.59</v>
      </c>
    </row>
    <row r="691">
      <c r="R691" s="2">
        <v>1.17</v>
      </c>
    </row>
    <row r="692">
      <c r="R692" s="2">
        <v>7.67</v>
      </c>
    </row>
    <row r="693">
      <c r="R693" s="2">
        <v>10.14</v>
      </c>
    </row>
    <row r="694">
      <c r="R694" s="2">
        <v>2.25</v>
      </c>
    </row>
    <row r="695">
      <c r="R695" s="2">
        <v>1.24</v>
      </c>
    </row>
    <row r="696">
      <c r="R696" s="2">
        <v>0.7</v>
      </c>
    </row>
    <row r="697">
      <c r="R697" s="2">
        <v>8.18</v>
      </c>
    </row>
    <row r="698">
      <c r="R698" s="2">
        <v>1.92</v>
      </c>
    </row>
    <row r="699">
      <c r="R699" s="2">
        <v>0.35</v>
      </c>
    </row>
    <row r="700">
      <c r="R700" s="2">
        <v>2.94</v>
      </c>
    </row>
    <row r="701">
      <c r="R701" s="2">
        <v>3.92</v>
      </c>
    </row>
    <row r="702">
      <c r="R702" s="2">
        <v>10.52</v>
      </c>
    </row>
    <row r="703">
      <c r="R703" s="2">
        <v>3.97</v>
      </c>
    </row>
    <row r="704">
      <c r="R704" s="2">
        <v>0.54</v>
      </c>
    </row>
    <row r="705">
      <c r="R705" s="2">
        <v>2.08</v>
      </c>
    </row>
    <row r="706">
      <c r="R706" s="2">
        <v>1.51</v>
      </c>
    </row>
    <row r="707">
      <c r="R707" s="2">
        <v>1.24</v>
      </c>
    </row>
    <row r="708">
      <c r="R708" s="2">
        <v>0.18</v>
      </c>
    </row>
    <row r="709">
      <c r="R709" s="2">
        <v>2.32</v>
      </c>
    </row>
    <row r="710">
      <c r="R710" s="2">
        <v>6.79</v>
      </c>
    </row>
    <row r="711">
      <c r="R711" s="2">
        <v>0.54</v>
      </c>
    </row>
    <row r="712">
      <c r="R712" s="2">
        <v>0.62</v>
      </c>
    </row>
    <row r="713">
      <c r="R713" s="2">
        <v>0.34</v>
      </c>
    </row>
    <row r="714">
      <c r="R714" s="2">
        <v>1.26</v>
      </c>
    </row>
    <row r="715">
      <c r="R715" s="2">
        <v>1.93</v>
      </c>
    </row>
    <row r="716">
      <c r="R716" s="2">
        <v>0.87</v>
      </c>
    </row>
    <row r="717">
      <c r="R717" s="2">
        <v>0.5</v>
      </c>
    </row>
    <row r="718">
      <c r="R718" s="2">
        <v>1.05</v>
      </c>
    </row>
    <row r="719">
      <c r="R719" s="2">
        <v>1.25</v>
      </c>
    </row>
    <row r="720">
      <c r="R720" s="2">
        <v>1.24</v>
      </c>
    </row>
    <row r="721">
      <c r="R721" s="2">
        <v>0.05</v>
      </c>
    </row>
    <row r="722">
      <c r="R722" s="2">
        <v>2.71</v>
      </c>
    </row>
    <row r="723">
      <c r="R723" s="2">
        <v>2.35</v>
      </c>
    </row>
    <row r="724">
      <c r="R724" s="2">
        <v>4.36</v>
      </c>
    </row>
    <row r="725">
      <c r="R725" s="2">
        <v>1.27</v>
      </c>
    </row>
    <row r="726">
      <c r="R726" s="2">
        <v>1.15</v>
      </c>
    </row>
    <row r="727">
      <c r="R727" s="2">
        <v>1.25</v>
      </c>
    </row>
    <row r="728">
      <c r="R728" s="2">
        <v>0.44</v>
      </c>
    </row>
    <row r="729">
      <c r="R729" s="2">
        <v>89.33</v>
      </c>
    </row>
    <row r="730">
      <c r="R730" s="2">
        <v>0.88</v>
      </c>
    </row>
    <row r="731">
      <c r="R731" s="2">
        <v>10.62</v>
      </c>
    </row>
    <row r="732">
      <c r="R732" s="2">
        <v>1.3</v>
      </c>
    </row>
    <row r="733">
      <c r="R733" s="2">
        <v>0.6</v>
      </c>
    </row>
    <row r="734">
      <c r="R734" s="2">
        <v>0.53</v>
      </c>
    </row>
    <row r="735">
      <c r="R735" s="2">
        <v>1.08</v>
      </c>
    </row>
    <row r="736">
      <c r="R736" s="2">
        <v>1.24</v>
      </c>
    </row>
    <row r="737">
      <c r="R737" s="2">
        <v>1.78</v>
      </c>
    </row>
    <row r="738">
      <c r="R738" s="2">
        <v>0.53</v>
      </c>
    </row>
    <row r="739">
      <c r="R739" s="2">
        <v>1.48</v>
      </c>
    </row>
    <row r="740">
      <c r="R740" s="2">
        <v>1.56</v>
      </c>
    </row>
    <row r="741">
      <c r="R741" s="2">
        <v>0.93</v>
      </c>
    </row>
    <row r="742">
      <c r="R742" s="2">
        <v>1.52</v>
      </c>
    </row>
    <row r="743">
      <c r="R743" s="2">
        <v>2.79</v>
      </c>
    </row>
    <row r="744">
      <c r="R744" s="2">
        <v>0.59</v>
      </c>
    </row>
    <row r="745">
      <c r="R745" s="2">
        <v>2.27</v>
      </c>
    </row>
    <row r="746">
      <c r="R746" s="2">
        <v>1.32</v>
      </c>
    </row>
    <row r="747">
      <c r="R747" s="2">
        <v>0.56</v>
      </c>
    </row>
    <row r="748">
      <c r="R748" s="2">
        <v>3.76</v>
      </c>
    </row>
    <row r="749">
      <c r="R749" s="2">
        <v>10.32</v>
      </c>
    </row>
    <row r="750">
      <c r="R750" s="2">
        <v>0.92</v>
      </c>
    </row>
    <row r="751">
      <c r="R751" s="2">
        <v>2.78</v>
      </c>
    </row>
    <row r="752">
      <c r="R752" s="2">
        <v>1.0</v>
      </c>
    </row>
    <row r="753">
      <c r="R753" s="2">
        <v>1.51</v>
      </c>
    </row>
    <row r="754">
      <c r="R754" s="2">
        <v>0.5</v>
      </c>
    </row>
    <row r="755">
      <c r="R755" s="2">
        <v>2.23</v>
      </c>
    </row>
    <row r="756">
      <c r="R756" s="2">
        <v>0.62</v>
      </c>
    </row>
    <row r="757">
      <c r="R757" s="10" t="s">
        <v>23</v>
      </c>
    </row>
    <row r="758">
      <c r="R758" s="2">
        <v>0.5</v>
      </c>
    </row>
    <row r="759">
      <c r="R759" s="2">
        <v>1.18</v>
      </c>
    </row>
    <row r="760">
      <c r="R760" s="2">
        <v>0.59</v>
      </c>
    </row>
    <row r="761">
      <c r="R761" s="2">
        <v>2.55</v>
      </c>
    </row>
    <row r="762">
      <c r="R762" s="2">
        <v>0.94</v>
      </c>
    </row>
    <row r="763">
      <c r="R763" s="2">
        <v>6.92</v>
      </c>
    </row>
    <row r="764">
      <c r="R764" s="2">
        <v>0.89</v>
      </c>
    </row>
    <row r="765">
      <c r="R765" s="2">
        <v>0.57</v>
      </c>
    </row>
    <row r="766">
      <c r="R766" s="2">
        <v>16.57</v>
      </c>
    </row>
    <row r="767">
      <c r="R767" s="2">
        <v>3.07</v>
      </c>
    </row>
    <row r="768">
      <c r="R768" s="2">
        <v>0.85</v>
      </c>
    </row>
    <row r="769">
      <c r="R769" s="2">
        <v>9.55</v>
      </c>
    </row>
    <row r="770">
      <c r="R770" s="2">
        <v>0.58</v>
      </c>
    </row>
    <row r="771">
      <c r="R771" s="2">
        <v>0.38</v>
      </c>
    </row>
    <row r="772">
      <c r="R772" s="2">
        <v>0.19</v>
      </c>
    </row>
    <row r="773">
      <c r="R773" s="2">
        <v>3.64</v>
      </c>
    </row>
    <row r="774">
      <c r="R774" s="2">
        <v>1.19</v>
      </c>
    </row>
    <row r="775">
      <c r="R775" s="2">
        <v>0.88</v>
      </c>
    </row>
    <row r="776">
      <c r="R776" s="2">
        <v>0.13</v>
      </c>
    </row>
    <row r="777">
      <c r="R777" s="2">
        <v>5.27</v>
      </c>
    </row>
    <row r="778">
      <c r="R778" s="2">
        <v>16.73</v>
      </c>
    </row>
    <row r="779">
      <c r="R779" s="2">
        <v>1.63</v>
      </c>
    </row>
    <row r="780">
      <c r="R780" s="2">
        <v>3.47</v>
      </c>
    </row>
    <row r="781">
      <c r="R781" s="2">
        <v>9.08</v>
      </c>
    </row>
    <row r="782">
      <c r="R782" s="2">
        <v>2.05</v>
      </c>
    </row>
    <row r="783">
      <c r="R783" s="2">
        <v>2.87</v>
      </c>
    </row>
    <row r="784">
      <c r="R784" s="2">
        <v>2.86</v>
      </c>
    </row>
    <row r="785">
      <c r="R785" s="2">
        <v>0.98</v>
      </c>
    </row>
    <row r="786">
      <c r="R786" s="2">
        <v>0.32</v>
      </c>
    </row>
    <row r="787">
      <c r="R787" s="2">
        <v>0.62</v>
      </c>
    </row>
    <row r="788">
      <c r="R788" s="2">
        <v>1.09</v>
      </c>
    </row>
    <row r="789">
      <c r="R789" s="2">
        <v>1.69</v>
      </c>
    </row>
    <row r="790">
      <c r="R790" s="2">
        <v>16.01</v>
      </c>
    </row>
    <row r="791">
      <c r="R791" s="2">
        <v>0.32</v>
      </c>
    </row>
    <row r="792">
      <c r="R792" s="2">
        <v>7.87</v>
      </c>
    </row>
    <row r="793">
      <c r="R793" s="2">
        <v>2.03</v>
      </c>
    </row>
    <row r="794">
      <c r="R794" s="2">
        <v>3.63</v>
      </c>
    </row>
    <row r="795">
      <c r="R795" s="2">
        <v>0.94</v>
      </c>
    </row>
    <row r="796">
      <c r="R796" s="2">
        <v>3.6</v>
      </c>
    </row>
    <row r="797">
      <c r="R797" s="2">
        <v>0.32</v>
      </c>
    </row>
    <row r="798">
      <c r="R798" s="2">
        <v>10.91</v>
      </c>
    </row>
    <row r="799">
      <c r="R799" s="2">
        <v>3.07</v>
      </c>
    </row>
    <row r="800">
      <c r="R800" s="2">
        <v>1.53</v>
      </c>
    </row>
    <row r="801">
      <c r="R801" s="2">
        <v>1.78</v>
      </c>
    </row>
    <row r="802">
      <c r="R802" s="2">
        <v>2.8</v>
      </c>
    </row>
    <row r="803">
      <c r="R803" s="2">
        <v>0.76</v>
      </c>
    </row>
    <row r="804">
      <c r="R804" s="2">
        <v>0.34</v>
      </c>
    </row>
    <row r="805">
      <c r="R805" s="2">
        <v>2.46</v>
      </c>
    </row>
    <row r="806">
      <c r="R806" s="2">
        <v>4.78</v>
      </c>
    </row>
    <row r="807">
      <c r="R807" s="2">
        <v>0.77</v>
      </c>
    </row>
    <row r="808">
      <c r="R808" s="2">
        <v>1.03</v>
      </c>
    </row>
    <row r="809">
      <c r="R809" s="2">
        <v>0.56</v>
      </c>
    </row>
    <row r="810">
      <c r="R810" s="2">
        <v>2.2</v>
      </c>
    </row>
    <row r="811">
      <c r="R811" s="2">
        <v>0.56</v>
      </c>
    </row>
    <row r="812">
      <c r="R812" s="2">
        <v>0.61</v>
      </c>
    </row>
    <row r="813">
      <c r="R813" s="2">
        <v>4.4</v>
      </c>
    </row>
    <row r="814">
      <c r="R814" s="2">
        <v>1.3</v>
      </c>
    </row>
    <row r="815">
      <c r="R815" s="2">
        <v>10.53</v>
      </c>
    </row>
    <row r="816">
      <c r="R816" s="2">
        <v>0.58</v>
      </c>
    </row>
    <row r="817">
      <c r="R817" s="2">
        <v>2.37</v>
      </c>
    </row>
    <row r="818">
      <c r="R818" s="2">
        <v>13.44</v>
      </c>
    </row>
    <row r="819">
      <c r="R819" s="2">
        <v>3.11</v>
      </c>
    </row>
    <row r="820">
      <c r="R820" s="2">
        <v>111.35</v>
      </c>
    </row>
    <row r="821">
      <c r="R821" s="2">
        <v>1.37</v>
      </c>
    </row>
    <row r="822">
      <c r="R822" s="2">
        <v>26.31</v>
      </c>
    </row>
    <row r="823">
      <c r="R823" s="2">
        <v>0.82</v>
      </c>
    </row>
    <row r="824">
      <c r="R824" s="2">
        <v>1.17</v>
      </c>
    </row>
    <row r="825">
      <c r="R825" s="2">
        <v>2.27</v>
      </c>
    </row>
    <row r="826">
      <c r="R826" s="2">
        <v>1.35</v>
      </c>
    </row>
    <row r="827">
      <c r="R827" s="2">
        <v>1.61</v>
      </c>
    </row>
    <row r="828">
      <c r="R828" s="2">
        <v>1.96</v>
      </c>
    </row>
    <row r="829">
      <c r="R829" s="2">
        <v>0.45</v>
      </c>
    </row>
    <row r="830">
      <c r="R830" s="2">
        <v>0.99</v>
      </c>
    </row>
    <row r="831">
      <c r="R831" s="2">
        <v>2.09</v>
      </c>
    </row>
    <row r="832">
      <c r="R832" s="2">
        <v>3.03</v>
      </c>
    </row>
    <row r="833">
      <c r="R833" s="2">
        <v>66.58</v>
      </c>
    </row>
    <row r="834">
      <c r="R834" s="2">
        <v>0.27</v>
      </c>
    </row>
    <row r="835">
      <c r="R835" s="2">
        <v>1.77</v>
      </c>
    </row>
    <row r="836">
      <c r="R836" s="2">
        <v>2.17</v>
      </c>
    </row>
    <row r="837">
      <c r="R837" s="2">
        <v>0.45</v>
      </c>
    </row>
    <row r="838">
      <c r="R838" s="2">
        <v>1.26</v>
      </c>
    </row>
    <row r="839">
      <c r="R839" s="2">
        <v>0.9</v>
      </c>
    </row>
    <row r="840">
      <c r="R840" s="2">
        <v>0.29</v>
      </c>
    </row>
    <row r="841">
      <c r="R841" s="2">
        <v>3.73</v>
      </c>
    </row>
    <row r="842">
      <c r="R842" s="2">
        <v>0.35</v>
      </c>
    </row>
    <row r="843">
      <c r="R843" s="2">
        <v>1.08</v>
      </c>
    </row>
    <row r="844">
      <c r="R844" s="2">
        <v>0.43</v>
      </c>
    </row>
    <row r="845">
      <c r="R845" s="2">
        <v>0.72</v>
      </c>
    </row>
    <row r="846">
      <c r="R846" s="2">
        <v>0.21</v>
      </c>
    </row>
    <row r="847">
      <c r="R847" s="2">
        <v>3.41</v>
      </c>
    </row>
    <row r="848">
      <c r="R848" s="2">
        <v>0.51</v>
      </c>
    </row>
    <row r="849">
      <c r="R849" s="2">
        <v>0.6</v>
      </c>
    </row>
    <row r="850">
      <c r="R850" s="2">
        <v>0.68</v>
      </c>
    </row>
    <row r="851">
      <c r="R851" s="2">
        <v>0.55</v>
      </c>
    </row>
    <row r="852">
      <c r="R852" s="2">
        <v>1.3</v>
      </c>
    </row>
    <row r="853">
      <c r="R853" s="2">
        <v>1.62</v>
      </c>
    </row>
    <row r="854">
      <c r="R854" s="2">
        <v>9.55</v>
      </c>
    </row>
    <row r="855">
      <c r="R855" s="2">
        <v>0.33</v>
      </c>
    </row>
    <row r="856">
      <c r="R856" s="2">
        <v>0.78</v>
      </c>
    </row>
    <row r="857">
      <c r="R857" s="2">
        <v>2.57</v>
      </c>
    </row>
    <row r="858">
      <c r="R858" s="2">
        <v>0.7</v>
      </c>
    </row>
    <row r="859">
      <c r="R859" s="2">
        <v>5.67</v>
      </c>
    </row>
    <row r="860">
      <c r="R860" s="2">
        <v>1.68</v>
      </c>
    </row>
    <row r="861">
      <c r="R861" s="2">
        <v>1.51</v>
      </c>
    </row>
    <row r="862">
      <c r="R862" s="2">
        <v>2.63</v>
      </c>
    </row>
    <row r="863">
      <c r="R863" s="2">
        <v>0.66</v>
      </c>
    </row>
    <row r="864">
      <c r="R864" s="2">
        <v>2.41</v>
      </c>
    </row>
    <row r="865">
      <c r="R865" s="2">
        <v>1.58</v>
      </c>
    </row>
    <row r="866">
      <c r="R866" s="2">
        <v>0.39</v>
      </c>
    </row>
    <row r="867">
      <c r="R867" s="2">
        <v>4.48</v>
      </c>
    </row>
    <row r="868">
      <c r="R868" s="2">
        <v>0.71</v>
      </c>
    </row>
    <row r="869">
      <c r="R869" s="2">
        <v>1.27</v>
      </c>
    </row>
    <row r="870">
      <c r="R870" s="2">
        <v>0.8</v>
      </c>
    </row>
    <row r="871">
      <c r="R871" s="2">
        <v>15.66</v>
      </c>
    </row>
    <row r="872">
      <c r="R872" s="2">
        <v>3.24</v>
      </c>
    </row>
    <row r="873">
      <c r="R873" s="2">
        <v>1.36</v>
      </c>
    </row>
    <row r="874">
      <c r="R874" s="2">
        <v>0.71</v>
      </c>
    </row>
    <row r="875">
      <c r="R875" s="2">
        <v>2.06</v>
      </c>
    </row>
    <row r="876">
      <c r="R876" s="2">
        <v>1.84</v>
      </c>
    </row>
    <row r="877">
      <c r="R877" s="2">
        <v>6.88</v>
      </c>
    </row>
    <row r="878">
      <c r="R878" s="2">
        <v>0.19</v>
      </c>
    </row>
    <row r="879">
      <c r="R879" s="2">
        <v>0.59</v>
      </c>
    </row>
    <row r="880">
      <c r="R880" s="2">
        <v>1.17</v>
      </c>
    </row>
    <row r="881">
      <c r="R881" s="2">
        <v>7.67</v>
      </c>
    </row>
    <row r="882">
      <c r="R882" s="2">
        <v>10.14</v>
      </c>
    </row>
    <row r="883">
      <c r="R883" s="2">
        <v>2.25</v>
      </c>
    </row>
    <row r="884">
      <c r="R884" s="2">
        <v>1.24</v>
      </c>
    </row>
    <row r="885">
      <c r="R885" s="2">
        <v>0.7</v>
      </c>
    </row>
    <row r="886">
      <c r="R886" s="2">
        <v>8.18</v>
      </c>
    </row>
    <row r="887">
      <c r="R887" s="2">
        <v>1.92</v>
      </c>
    </row>
    <row r="888">
      <c r="R888" s="2">
        <v>0.35</v>
      </c>
    </row>
    <row r="889">
      <c r="R889" s="2">
        <v>2.94</v>
      </c>
    </row>
    <row r="890">
      <c r="R890" s="2">
        <v>3.92</v>
      </c>
    </row>
    <row r="891">
      <c r="R891" s="2">
        <v>10.52</v>
      </c>
    </row>
    <row r="892">
      <c r="R892" s="2">
        <v>3.97</v>
      </c>
    </row>
    <row r="893">
      <c r="R893" s="2">
        <v>0.54</v>
      </c>
    </row>
    <row r="894">
      <c r="R894" s="2">
        <v>2.08</v>
      </c>
    </row>
    <row r="895">
      <c r="R895" s="2">
        <v>1.51</v>
      </c>
    </row>
    <row r="896">
      <c r="R896" s="2">
        <v>1.24</v>
      </c>
    </row>
    <row r="897">
      <c r="R897" s="2">
        <v>0.18</v>
      </c>
    </row>
    <row r="898">
      <c r="R898" s="2">
        <v>2.32</v>
      </c>
    </row>
    <row r="899">
      <c r="R899" s="2">
        <v>6.79</v>
      </c>
    </row>
    <row r="900">
      <c r="R900" s="2">
        <v>0.54</v>
      </c>
    </row>
    <row r="901">
      <c r="R901" s="2">
        <v>0.62</v>
      </c>
    </row>
    <row r="902">
      <c r="R902" s="2">
        <v>0.34</v>
      </c>
    </row>
    <row r="903">
      <c r="R903" s="2">
        <v>1.26</v>
      </c>
    </row>
    <row r="904">
      <c r="R904" s="2">
        <v>1.93</v>
      </c>
    </row>
    <row r="905">
      <c r="R905" s="2">
        <v>0.87</v>
      </c>
    </row>
    <row r="906">
      <c r="R906" s="2">
        <v>0.5</v>
      </c>
    </row>
    <row r="907">
      <c r="R907" s="2">
        <v>1.05</v>
      </c>
    </row>
    <row r="908">
      <c r="R908" s="2">
        <v>1.25</v>
      </c>
    </row>
    <row r="909">
      <c r="R909" s="2">
        <v>1.24</v>
      </c>
    </row>
    <row r="910">
      <c r="R910" s="2">
        <v>0.05</v>
      </c>
    </row>
    <row r="911">
      <c r="R911" s="2">
        <v>2.71</v>
      </c>
    </row>
    <row r="912">
      <c r="R912" s="2">
        <v>2.35</v>
      </c>
    </row>
    <row r="913">
      <c r="R913" s="2">
        <v>4.36</v>
      </c>
    </row>
    <row r="914">
      <c r="R914" s="2">
        <v>1.27</v>
      </c>
    </row>
    <row r="915">
      <c r="R915" s="2">
        <v>1.15</v>
      </c>
    </row>
    <row r="916">
      <c r="R916" s="2">
        <v>1.25</v>
      </c>
    </row>
    <row r="917">
      <c r="R917" s="2">
        <v>0.44</v>
      </c>
    </row>
    <row r="918">
      <c r="R918" s="2">
        <v>89.33</v>
      </c>
    </row>
    <row r="919">
      <c r="R919" s="2">
        <v>0.88</v>
      </c>
    </row>
    <row r="920">
      <c r="R920" s="2">
        <v>10.62</v>
      </c>
    </row>
    <row r="921">
      <c r="R921" s="2">
        <v>1.3</v>
      </c>
    </row>
    <row r="922">
      <c r="R922" s="2">
        <v>0.6</v>
      </c>
    </row>
    <row r="923">
      <c r="R923" s="2">
        <v>0.53</v>
      </c>
    </row>
    <row r="924">
      <c r="R924" s="2">
        <v>1.08</v>
      </c>
    </row>
    <row r="925">
      <c r="R925" s="2">
        <v>1.24</v>
      </c>
    </row>
    <row r="926">
      <c r="R926" s="2">
        <v>1.78</v>
      </c>
    </row>
    <row r="927">
      <c r="R927" s="2">
        <v>0.53</v>
      </c>
    </row>
    <row r="928">
      <c r="R928" s="2">
        <v>1.48</v>
      </c>
    </row>
    <row r="929">
      <c r="R929" s="2">
        <v>1.56</v>
      </c>
    </row>
    <row r="930">
      <c r="R930" s="2">
        <v>0.93</v>
      </c>
    </row>
    <row r="931">
      <c r="R931" s="2">
        <v>1.52</v>
      </c>
    </row>
    <row r="932">
      <c r="R932" s="2">
        <v>2.79</v>
      </c>
    </row>
    <row r="933">
      <c r="R933" s="2">
        <v>0.59</v>
      </c>
    </row>
    <row r="934">
      <c r="R934" s="2">
        <v>2.27</v>
      </c>
    </row>
    <row r="935">
      <c r="R935" s="2">
        <v>1.32</v>
      </c>
    </row>
    <row r="936">
      <c r="R936" s="2">
        <v>0.56</v>
      </c>
    </row>
    <row r="937">
      <c r="R937" s="2">
        <v>3.76</v>
      </c>
    </row>
    <row r="938">
      <c r="R938" s="2">
        <v>10.32</v>
      </c>
    </row>
    <row r="939">
      <c r="R939" s="2">
        <v>0.92</v>
      </c>
    </row>
    <row r="940">
      <c r="R940" s="2">
        <v>2.78</v>
      </c>
    </row>
    <row r="941">
      <c r="R941" s="2">
        <v>1.0</v>
      </c>
    </row>
    <row r="942">
      <c r="R942" s="2">
        <v>1.51</v>
      </c>
    </row>
    <row r="943">
      <c r="R943" s="2">
        <v>0.5</v>
      </c>
    </row>
    <row r="944">
      <c r="R944" s="2">
        <v>2.23</v>
      </c>
    </row>
    <row r="945">
      <c r="R945" s="2">
        <v>0.62</v>
      </c>
    </row>
  </sheetData>
  <autoFilter ref="$E$1:$E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4" max="4" width="31.38"/>
  </cols>
  <sheetData>
    <row r="1"/>
    <row r="2"/>
    <row r="3"/>
    <row r="4"/>
    <row r="5"/>
    <row r="6"/>
    <row r="7"/>
    <row r="8">
      <c r="C8" s="9"/>
      <c r="D8" s="9"/>
      <c r="E8" s="9"/>
    </row>
    <row r="10"/>
    <row r="11"/>
    <row r="12"/>
    <row r="13"/>
    <row r="14"/>
    <row r="15"/>
    <row r="16"/>
    <row r="17"/>
    <row r="18"/>
    <row r="19">
      <c r="B19" s="9"/>
      <c r="C19" s="9"/>
      <c r="D19" s="9"/>
    </row>
    <row r="21"/>
    <row r="22"/>
    <row r="23"/>
    <row r="24"/>
    <row r="25"/>
    <row r="26"/>
    <row r="27"/>
    <row r="28">
      <c r="B28" s="9"/>
      <c r="C28" s="9"/>
      <c r="D28" s="9"/>
      <c r="E28" s="9"/>
      <c r="F28" s="9"/>
    </row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A1" s="11" t="s">
        <v>1003</v>
      </c>
      <c r="B1" s="12"/>
      <c r="C1" s="12"/>
      <c r="D1" s="12"/>
      <c r="E1" s="12"/>
      <c r="F1" s="12"/>
      <c r="G1" s="12"/>
      <c r="H1" s="12"/>
      <c r="I1" s="12"/>
      <c r="J1" s="13"/>
    </row>
    <row r="2">
      <c r="A2" s="14"/>
      <c r="J2" s="15"/>
    </row>
    <row r="3">
      <c r="A3" s="14"/>
      <c r="J3" s="15"/>
    </row>
    <row r="4">
      <c r="A4" s="16"/>
      <c r="J4" s="17"/>
    </row>
    <row r="5">
      <c r="A5" s="16"/>
      <c r="J5" s="17"/>
    </row>
    <row r="6">
      <c r="A6" s="16"/>
      <c r="J6" s="17"/>
    </row>
    <row r="7">
      <c r="A7" s="16"/>
      <c r="J7" s="17"/>
    </row>
    <row r="8">
      <c r="A8" s="16"/>
      <c r="J8" s="17"/>
    </row>
    <row r="9">
      <c r="A9" s="16"/>
      <c r="J9" s="17"/>
    </row>
    <row r="10">
      <c r="A10" s="16"/>
      <c r="J10" s="17"/>
    </row>
    <row r="11">
      <c r="A11" s="16"/>
      <c r="J11" s="17"/>
    </row>
    <row r="12">
      <c r="A12" s="16"/>
      <c r="J12" s="17"/>
    </row>
    <row r="13">
      <c r="A13" s="16"/>
      <c r="J13" s="17"/>
    </row>
    <row r="14">
      <c r="A14" s="16"/>
      <c r="J14" s="17"/>
    </row>
    <row r="15">
      <c r="A15" s="16"/>
      <c r="J15" s="17"/>
    </row>
    <row r="16">
      <c r="A16" s="16"/>
      <c r="J16" s="17"/>
    </row>
    <row r="17">
      <c r="A17" s="16"/>
      <c r="J17" s="17"/>
    </row>
    <row r="18">
      <c r="A18" s="16"/>
      <c r="J18" s="17"/>
    </row>
    <row r="19">
      <c r="A19" s="16"/>
      <c r="J19" s="17"/>
    </row>
    <row r="20">
      <c r="A20" s="16"/>
      <c r="J20" s="17"/>
    </row>
    <row r="21">
      <c r="A21" s="16"/>
      <c r="J21" s="17"/>
    </row>
    <row r="22">
      <c r="A22" s="16"/>
      <c r="J22" s="17"/>
    </row>
    <row r="23">
      <c r="A23" s="16"/>
      <c r="J23" s="17"/>
    </row>
    <row r="24">
      <c r="A24" s="16"/>
      <c r="J24" s="17"/>
    </row>
    <row r="25">
      <c r="A25" s="16"/>
      <c r="J25" s="17"/>
    </row>
    <row r="26">
      <c r="A26" s="16"/>
      <c r="J26" s="17"/>
    </row>
    <row r="27">
      <c r="A27" s="16"/>
      <c r="J27" s="17"/>
    </row>
    <row r="28">
      <c r="A28" s="16"/>
      <c r="J28" s="17"/>
    </row>
    <row r="29">
      <c r="A29" s="16"/>
      <c r="J29" s="17"/>
    </row>
    <row r="30">
      <c r="A30" s="16"/>
      <c r="J30" s="17"/>
    </row>
    <row r="31">
      <c r="A31" s="16"/>
      <c r="J31" s="17"/>
    </row>
    <row r="32">
      <c r="A32" s="16"/>
      <c r="J32" s="17"/>
    </row>
    <row r="33">
      <c r="A33" s="16"/>
      <c r="J33" s="17"/>
    </row>
    <row r="34">
      <c r="A34" s="16"/>
      <c r="J34" s="17"/>
    </row>
    <row r="35">
      <c r="A35" s="16"/>
      <c r="J35" s="17"/>
    </row>
    <row r="36">
      <c r="A36" s="16"/>
      <c r="J36" s="17"/>
    </row>
    <row r="37">
      <c r="A37" s="16"/>
      <c r="J37" s="17"/>
    </row>
    <row r="38">
      <c r="A38" s="16"/>
      <c r="J38" s="17"/>
    </row>
    <row r="39">
      <c r="A39" s="16"/>
      <c r="J39" s="17"/>
    </row>
    <row r="40">
      <c r="A40" s="16"/>
      <c r="J40" s="17"/>
    </row>
    <row r="41">
      <c r="A41" s="16"/>
      <c r="J41" s="17"/>
    </row>
    <row r="42">
      <c r="A42" s="16"/>
      <c r="J42" s="1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20"/>
    </row>
  </sheetData>
  <mergeCells count="1">
    <mergeCell ref="A1:J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